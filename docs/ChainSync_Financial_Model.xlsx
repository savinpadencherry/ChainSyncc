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avinpadencherry/Downloads/"/>
    </mc:Choice>
  </mc:AlternateContent>
  <xr:revisionPtr revIDLastSave="0" documentId="13_ncr:1_{66F65D95-F117-4248-9089-CFFE252E40A0}" xr6:coauthVersionLast="47" xr6:coauthVersionMax="47" xr10:uidLastSave="{00000000-0000-0000-0000-000000000000}"/>
  <bookViews>
    <workbookView xWindow="11420" yWindow="620" windowWidth="22180" windowHeight="18560" tabRatio="500" firstSheet="3" activeTab="8" xr2:uid="{00000000-000D-0000-FFFF-FFFF00000000}"/>
  </bookViews>
  <sheets>
    <sheet name="GTM Strategy" sheetId="1" r:id="rId1"/>
    <sheet name="Competitive Moat" sheetId="2" r:id="rId2"/>
    <sheet name="Executive Summary" sheetId="3" r:id="rId3"/>
    <sheet name="Market Research" sheetId="4" r:id="rId4"/>
    <sheet name="Pricing Strategy" sheetId="5" r:id="rId5"/>
    <sheet name="Revenue Projections" sheetId="6" r:id="rId6"/>
    <sheet name="Unit Economics" sheetId="7" r:id="rId7"/>
    <sheet name="Breakeven Analysis" sheetId="8" r:id="rId8"/>
    <sheet name="Development Costs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<sst xmlns="http://schemas.openxmlformats.org/spreadsheetml/2006/main" count="466" uniqueCount="374">
  <si>
    <t>GO-TO-MARKET STRATEGY: HOW WE ACQUIRE 1,598 CUSTOMERS</t>
  </si>
  <si>
    <t>THE STRATEGIC QUESTION: Why will fleet operators choose ChainSync?</t>
  </si>
  <si>
    <t>WE SOLVE 4 PROBLEMS THAT COMPETITORS IGNORE</t>
  </si>
  <si>
    <t>Problem</t>
  </si>
  <si>
    <t>Current Pain Point</t>
  </si>
  <si>
    <t>ChainSync Solution</t>
  </si>
  <si>
    <t>Why Competitors Cant Copy</t>
  </si>
  <si>
    <t>PRICE BARRIER</t>
  </si>
  <si>
    <t>Locus charges Rs.1,500-3,000/vehicle. 10-vehicle fleet = Rs.15,000-30,000/month. Unaffordable for SMEs.</t>
  </si>
  <si>
    <t>Rs.599/vehicle = Rs.5,990/month. 75% cheaper. ROI in first month.</t>
  </si>
  <si>
    <t>Their enterprise sales model needs high prices. Rs.50,000+ CAC requires Rs.1,500+ pricing.</t>
  </si>
  <si>
    <t>COMPLEXITY</t>
  </si>
  <si>
    <t>Enterprise tools need IT teams, API setup, 3-month implementation. SMEs have no IT staff.</t>
  </si>
  <si>
    <t>Download app &gt; Add vehicles &gt; Start in 30 mins. Zero IT needed. WhatsApp support.</t>
  </si>
  <si>
    <t>Products built for enterprises. Simplifying means rebuilding from scratch.</t>
  </si>
  <si>
    <t>LANGUAGE</t>
  </si>
  <si>
    <t>All competitors are English-only. 80% of fleet owners prefer Hindi or regional languages.</t>
  </si>
  <si>
    <t>Full Hindi interface. Driver app with voice. Kannada, Tamil, Telugu in Y2.</t>
  </si>
  <si>
    <t>Global products cannot localize deeply. Translation is not localization.</t>
  </si>
  <si>
    <t>PAYMENT FRICTION</t>
  </si>
  <si>
    <t>Annual contracts, credit cards, complex invoicing. SMEs want monthly, UPI, simple bills.</t>
  </si>
  <si>
    <t>Monthly billing. UPI/PhonePe/GPay. WhatsApp invoice. No lock-in.</t>
  </si>
  <si>
    <t>Enterprise billing systems cant handle micro-transactions economically.</t>
  </si>
  <si>
    <t>CUSTOMER ACQUISITION CHANNELS - HOW WE GET TO 1,598</t>
  </si>
  <si>
    <t>Channel</t>
  </si>
  <si>
    <t>Target</t>
  </si>
  <si>
    <t>Y1</t>
  </si>
  <si>
    <t>Y5</t>
  </si>
  <si>
    <t>CAC</t>
  </si>
  <si>
    <t>Execution Plan</t>
  </si>
  <si>
    <t>Google/Meta Ads</t>
  </si>
  <si>
    <t>Starter</t>
  </si>
  <si>
    <t>Rs.8,000</t>
  </si>
  <si>
    <t>Bid on "fleet management app", "route optimizer". Geo-target logistics hubs.</t>
  </si>
  <si>
    <t>Transport Associations</t>
  </si>
  <si>
    <t>Professional</t>
  </si>
  <si>
    <t>Rs.10,000</t>
  </si>
  <si>
    <t>Partner with AIMTC, state trucking bodies. They endorse, we pay referral fee.</t>
  </si>
  <si>
    <t>Logistics Hub Activations</t>
  </si>
  <si>
    <t>All</t>
  </si>
  <si>
    <t>Rs.15,000</t>
  </si>
  <si>
    <t>Boots on ground at Sanjay Gandhi Nagar (Delhi), Whitefield (BLR). Demo stations.</t>
  </si>
  <si>
    <t>Referral Program</t>
  </si>
  <si>
    <t>Rs.5,000</t>
  </si>
  <si>
    <t>1 month free for referrer + referee. Viral growth. Lowest CAC.</t>
  </si>
  <si>
    <t>Content/SEO</t>
  </si>
  <si>
    <t>Prof/Ent</t>
  </si>
  <si>
    <t>Rs.6,000</t>
  </si>
  <si>
    <t>Fuel savings calculator, route optimization blog. Rank on Google organically.</t>
  </si>
  <si>
    <t>Inside Sales</t>
  </si>
  <si>
    <t>Enterprise</t>
  </si>
  <si>
    <t>Rs.40,000</t>
  </si>
  <si>
    <t>Outbound calls to 20+ vehicle fleets. High CAC but Rs.1.8L LTV justifies.</t>
  </si>
  <si>
    <t>TOTAL</t>
  </si>
  <si>
    <t>Rs.12,000</t>
  </si>
  <si>
    <t>CONVERSION FUNNEL - MONTHLY NUMBERS (Year 2 Steady State)</t>
  </si>
  <si>
    <t>Acquisition Channel Mix</t>
  </si>
  <si>
    <t>Stage</t>
  </si>
  <si>
    <t>Count</t>
  </si>
  <si>
    <t>Conversion %</t>
  </si>
  <si>
    <t>How We Achieve This</t>
  </si>
  <si>
    <t>Y5 Customers</t>
  </si>
  <si>
    <t>Website Visitors</t>
  </si>
  <si>
    <t>15,000</t>
  </si>
  <si>
    <t>100%</t>
  </si>
  <si>
    <t>SEO + Paid ads + Content marketing</t>
  </si>
  <si>
    <t>Digital Ads</t>
  </si>
  <si>
    <t>App Downloads / Signups</t>
  </si>
  <si>
    <t>1,500</t>
  </si>
  <si>
    <t>10%</t>
  </si>
  <si>
    <t>Clear value prop, Hindi landing page, simple signup</t>
  </si>
  <si>
    <t>Associations</t>
  </si>
  <si>
    <t>Free Trial Started</t>
  </si>
  <si>
    <t>450</t>
  </si>
  <si>
    <t>30%</t>
  </si>
  <si>
    <t>14-day free trial, no credit card required</t>
  </si>
  <si>
    <t>Hubs</t>
  </si>
  <si>
    <t>Trial to Paid Conversion</t>
  </si>
  <si>
    <t>90</t>
  </si>
  <si>
    <t>20%</t>
  </si>
  <si>
    <t>Onboarding calls, WhatsApp support, quick wins</t>
  </si>
  <si>
    <t>Referrals</t>
  </si>
  <si>
    <t>Paid Customers (Monthly)</t>
  </si>
  <si>
    <t>22</t>
  </si>
  <si>
    <t>24%</t>
  </si>
  <si>
    <t>Monthly signup target to hit yearly goals</t>
  </si>
  <si>
    <t>SEO</t>
  </si>
  <si>
    <t>Sales</t>
  </si>
  <si>
    <t>MATH CHECK: 22 new customers/month x 12 months = 264 new/year. With 15% churn, net adds match projections.</t>
  </si>
  <si>
    <t>WHY 1% MARKET PENETRATION IS CONSERVATIVE</t>
  </si>
  <si>
    <t>Factor</t>
  </si>
  <si>
    <t>Data Point</t>
  </si>
  <si>
    <t>Implication</t>
  </si>
  <si>
    <t>SAM Size</t>
  </si>
  <si>
    <t>150,000 SME fleet operators</t>
  </si>
  <si>
    <t>We need only 1,598 = 1.07% of market</t>
  </si>
  <si>
    <t>Market Growth</t>
  </si>
  <si>
    <t>10.2% CAGR means 50,000+ new entrants by Y5</t>
  </si>
  <si>
    <t>Growing pie makes acquisition easier</t>
  </si>
  <si>
    <t>Competitor Focus</t>
  </si>
  <si>
    <t>Locus, FarEye chase enterprise (500+ vehicles)</t>
  </si>
  <si>
    <t>SME segment is essentially uncontested</t>
  </si>
  <si>
    <t>Regulatory Push</t>
  </si>
  <si>
    <t>AIS-140 GPS mandate drives adoption</t>
  </si>
  <si>
    <t>Fleet owners MUST digitize - we catch that wave</t>
  </si>
  <si>
    <t>Referral Multiplier</t>
  </si>
  <si>
    <t>Fleet owners know other fleet owners</t>
  </si>
  <si>
    <t>Each customer brings 0.5 referrals on average</t>
  </si>
  <si>
    <t>PANEL TALKING POINT:</t>
  </si>
  <si>
    <t>'We acquire customers through 6 channels with blended CAC of Rs.12,000. Our unfair advantage is solving 4 problems competitors structurally cannot address: price (75% cheaper), complexity (30-minute setup), language (Hindi-first), and payment (UPI, monthly). We need just 1% of a 150,000-operator market.'</t>
  </si>
  <si>
    <t>COMPETITIVE MOAT - WHY CUSTOMERS STAY AND COMPETITORS CANT CATCH UP</t>
  </si>
  <si>
    <t>SWITCHING COSTS - WHY CUSTOMERS WONT LEAVE</t>
  </si>
  <si>
    <t>Switching Cost</t>
  </si>
  <si>
    <t>Description</t>
  </si>
  <si>
    <t>Lock-in Strength</t>
  </si>
  <si>
    <t>Time to Build</t>
  </si>
  <si>
    <t>Historical Data</t>
  </si>
  <si>
    <t>Routes, fuel consumption, driver performance - all stored in ChainSync</t>
  </si>
  <si>
    <t>HIGH</t>
  </si>
  <si>
    <t>6+ months of usage</t>
  </si>
  <si>
    <t>Driver Training</t>
  </si>
  <si>
    <t>Drivers learn ChainSync app. Retraining on new system is painful.</t>
  </si>
  <si>
    <t>MEDIUM</t>
  </si>
  <si>
    <t>3 months</t>
  </si>
  <si>
    <t>Workflow Integration</t>
  </si>
  <si>
    <t>Dispatch, billing, customer communication - all flows through us</t>
  </si>
  <si>
    <t>6 months</t>
  </si>
  <si>
    <t>Custom Configurations</t>
  </si>
  <si>
    <t>Vehicle types, break policies, preferred routes - all customized</t>
  </si>
  <si>
    <t>API Integrations</t>
  </si>
  <si>
    <t>Connected to their accounting (Tally), ERP, fuel cards</t>
  </si>
  <si>
    <t>VERY HIGH</t>
  </si>
  <si>
    <t>12 months</t>
  </si>
  <si>
    <t>NETWORK EFFECTS - WHY WE GET BETTER WITH SCALE</t>
  </si>
  <si>
    <t>Effect</t>
  </si>
  <si>
    <t>How It Works</t>
  </si>
  <si>
    <t>Competitive Advantage</t>
  </si>
  <si>
    <t>Data Network Effect</t>
  </si>
  <si>
    <t>More routes driven = better traffic predictions = better routes for everyone</t>
  </si>
  <si>
    <t>Our algorithm improves with every customer. New entrants start from zero.</t>
  </si>
  <si>
    <t>Marketplace Potential</t>
  </si>
  <si>
    <t>Fleet owners can share spare capacity. Shippers find trucks. We take 5%.</t>
  </si>
  <si>
    <t>Platform economics kick in Year 3-4. Winner takes most.</t>
  </si>
  <si>
    <t>Partner Ecosystem</t>
  </si>
  <si>
    <t>Fuel cards, insurance, maintenance - partners integrate with scale leader</t>
  </si>
  <si>
    <t>Competitors cant attract partners without scale.</t>
  </si>
  <si>
    <t>COMPETITOR RESPONSE ANALYSIS</t>
  </si>
  <si>
    <t>Competitor</t>
  </si>
  <si>
    <t>Likely Response</t>
  </si>
  <si>
    <t>Why It Wont Work</t>
  </si>
  <si>
    <t>Our Counter</t>
  </si>
  <si>
    <t>Locus</t>
  </si>
  <si>
    <t>Launch SME tier at Rs.800-1,000</t>
  </si>
  <si>
    <t>Their CAC is Rs.50K+. Cant be profitable below Rs.1,200.</t>
  </si>
  <si>
    <t>We will already have 500+ customers and network effects.</t>
  </si>
  <si>
    <t>FarEye</t>
  </si>
  <si>
    <t>Acquire a smaller player</t>
  </si>
  <si>
    <t>SME products are different architecture. Integration takes 18+ months.</t>
  </si>
  <si>
    <t>Speed advantage. We ship features weekly.</t>
  </si>
  <si>
    <t>New Entrant</t>
  </si>
  <si>
    <t>Copy our model</t>
  </si>
  <si>
    <t>Product takes 18 months. Customer acquisition another 12.</t>
  </si>
  <si>
    <t>By then we have 1,000+ customers and brand.</t>
  </si>
  <si>
    <t>Google Maps Platform</t>
  </si>
  <si>
    <t>Offer route optimization</t>
  </si>
  <si>
    <t>Generic tool, not fleet management. No driver app, no dispatch.</t>
  </si>
  <si>
    <t>We build on top of Google Maps. Complementary, not competitive.</t>
  </si>
  <si>
    <t>Chart: Competitive Moat Strength Over Time</t>
  </si>
  <si>
    <t>Year</t>
  </si>
  <si>
    <t>Moat Score</t>
  </si>
  <si>
    <t>Y2</t>
  </si>
  <si>
    <t>Y3</t>
  </si>
  <si>
    <t>Y4</t>
  </si>
  <si>
    <t>'Our moat has 3 layers: (1) Switching costs from data and workflow lock-in, (2) Network effects as our route data improves with scale, (3) First-mover advantage in an uncontested SME segment. Competitors would need 18+ months and Rs.50+ Cr to replicate what we build for Rs.1.2 Cr.'</t>
  </si>
  <si>
    <t>CHAINSYNC - EXECUTIVE SUMMARY</t>
  </si>
  <si>
    <t>BUSINESS OVERVIEW</t>
  </si>
  <si>
    <t>Business Model</t>
  </si>
  <si>
    <t>B2B SaaS - Route optimization and fleet management</t>
  </si>
  <si>
    <t>Target Market</t>
  </si>
  <si>
    <t>SME fleet operators in India (5-100 vehicles)</t>
  </si>
  <si>
    <t>Revenue Model</t>
  </si>
  <si>
    <t>Per-vehicle monthly subscription</t>
  </si>
  <si>
    <t>Pricing</t>
  </si>
  <si>
    <t>Rs.349-749 per vehicle/month (50-75% below competition)</t>
  </si>
  <si>
    <t>Investment Required</t>
  </si>
  <si>
    <t>Rs.1.20 Crores</t>
  </si>
  <si>
    <t>Breakeven</t>
  </si>
  <si>
    <t>Month 24-30 (Year 2-3)</t>
  </si>
  <si>
    <t>5-Year ROI</t>
  </si>
  <si>
    <t>1,181%</t>
  </si>
  <si>
    <t>5-YEAR KEY METRICS</t>
  </si>
  <si>
    <t>Metric</t>
  </si>
  <si>
    <t>Year 1</t>
  </si>
  <si>
    <t>Year 2</t>
  </si>
  <si>
    <t>Year 3</t>
  </si>
  <si>
    <t>Year 4</t>
  </si>
  <si>
    <t>Year 5</t>
  </si>
  <si>
    <t>Revenue (Rs. Lakhs)</t>
  </si>
  <si>
    <t>Net Profit (Rs. Lakhs)</t>
  </si>
  <si>
    <t>Cumulative P&amp;L</t>
  </si>
  <si>
    <t>Active Customers</t>
  </si>
  <si>
    <t>Vehicles Managed</t>
  </si>
  <si>
    <t>MARKET RESEARCH</t>
  </si>
  <si>
    <t>MARKET SIZE AND GROWTH</t>
  </si>
  <si>
    <t>Value</t>
  </si>
  <si>
    <t>Source</t>
  </si>
  <si>
    <t>India Logistics Market</t>
  </si>
  <si>
    <t>Rs.22,840 Cr</t>
  </si>
  <si>
    <t>IMARC Group 2024</t>
  </si>
  <si>
    <t>Fleet Management Software</t>
  </si>
  <si>
    <t>Rs.1,008 Cr</t>
  </si>
  <si>
    <t>Mordor Intelligence</t>
  </si>
  <si>
    <t>Market CAGR</t>
  </si>
  <si>
    <t>10.21%</t>
  </si>
  <si>
    <t>IMARC 2024-2033</t>
  </si>
  <si>
    <t>SME Operators (5-100 veh)</t>
  </si>
  <si>
    <t>150,000</t>
  </si>
  <si>
    <t>Industry estimates</t>
  </si>
  <si>
    <t>TAM / SAM / SOM</t>
  </si>
  <si>
    <t>Segment</t>
  </si>
  <si>
    <t>Operators</t>
  </si>
  <si>
    <t>Vehicles</t>
  </si>
  <si>
    <t>Our Share</t>
  </si>
  <si>
    <t>TAM - All India</t>
  </si>
  <si>
    <t>500,000</t>
  </si>
  <si>
    <t>1.2 Crore</t>
  </si>
  <si>
    <t>SAM - SME Segment</t>
  </si>
  <si>
    <t>30 Lakhs</t>
  </si>
  <si>
    <t>Rs.350 Cr</t>
  </si>
  <si>
    <t>35%</t>
  </si>
  <si>
    <t>SOM - 5 Year Target</t>
  </si>
  <si>
    <t>1,598</t>
  </si>
  <si>
    <t>20,544</t>
  </si>
  <si>
    <t>Rs.12 Cr</t>
  </si>
  <si>
    <t>1%</t>
  </si>
  <si>
    <t>Chart Data</t>
  </si>
  <si>
    <t>TAM</t>
  </si>
  <si>
    <t>SAM</t>
  </si>
  <si>
    <t>SOM</t>
  </si>
  <si>
    <t>'The fleet management market is Rs.1,008 Cr, growing 10.2% annually. We target the SME segment - 150,000 operators with 5-100 vehicles. Our 5-year goal of 1,598 customers is just 1% market penetration - conservative and achievable.'</t>
  </si>
  <si>
    <t>PRICING STRATEGY</t>
  </si>
  <si>
    <t>SUBSCRIPTION TIERS</t>
  </si>
  <si>
    <t>Plan</t>
  </si>
  <si>
    <t>Price/Veh/Month</t>
  </si>
  <si>
    <t>Annual/Customer</t>
  </si>
  <si>
    <t>1-5</t>
  </si>
  <si>
    <t>Rs.749</t>
  </si>
  <si>
    <t>Rs.26,964</t>
  </si>
  <si>
    <t>Owner-operators</t>
  </si>
  <si>
    <t>6-20</t>
  </si>
  <si>
    <t>Rs.599</t>
  </si>
  <si>
    <t>Rs.86,256</t>
  </si>
  <si>
    <t>Growing SMEs</t>
  </si>
  <si>
    <t>21-50</t>
  </si>
  <si>
    <t>Rs.449</t>
  </si>
  <si>
    <t>Rs.188,580</t>
  </si>
  <si>
    <t>Medium enterprises</t>
  </si>
  <si>
    <t>Enterprise Plus</t>
  </si>
  <si>
    <t>51+</t>
  </si>
  <si>
    <t>Rs.349</t>
  </si>
  <si>
    <t>Rs.335,040</t>
  </si>
  <si>
    <t>Large fleets</t>
  </si>
  <si>
    <t>VS COMPETITION</t>
  </si>
  <si>
    <t>Their Price</t>
  </si>
  <si>
    <t>ChainSync</t>
  </si>
  <si>
    <t>Savings</t>
  </si>
  <si>
    <t>Rs.1,500-3,000</t>
  </si>
  <si>
    <t>Rs.349-749</t>
  </si>
  <si>
    <t>50-75%</t>
  </si>
  <si>
    <t>Rs.2,000-4,000</t>
  </si>
  <si>
    <t>62-81%</t>
  </si>
  <si>
    <t>LogiNext</t>
  </si>
  <si>
    <t>Rs.1,200-2,500</t>
  </si>
  <si>
    <t>38-70%</t>
  </si>
  <si>
    <t>OptimoRoute</t>
  </si>
  <si>
    <t>Rs.2,900-3,700</t>
  </si>
  <si>
    <t>74-88%</t>
  </si>
  <si>
    <t>Price Comparison Chart Data</t>
  </si>
  <si>
    <t>Company</t>
  </si>
  <si>
    <t>Price</t>
  </si>
  <si>
    <t>'At Rs.349-749, we are 50-75% cheaper than every competitor. This is not unsustainable discounting - our self-serve model has 10x lower CAC. We pass those savings to customers while maintaining 72% gross margins.'</t>
  </si>
  <si>
    <t>REVENUE PROJECTIONS AND P&amp;L</t>
  </si>
  <si>
    <t>REVENUE BY PLAN (Rs. Lakhs)</t>
  </si>
  <si>
    <t>Total</t>
  </si>
  <si>
    <t>PROFIT &amp; LOSS (Rs. Lakhs)</t>
  </si>
  <si>
    <t>Line Item</t>
  </si>
  <si>
    <t>Gross Revenue</t>
  </si>
  <si>
    <t>(-) Payment Fees</t>
  </si>
  <si>
    <t>Net Revenue</t>
  </si>
  <si>
    <t>(-) Operating Costs</t>
  </si>
  <si>
    <t>(-) Marketing</t>
  </si>
  <si>
    <t>NET PROFIT</t>
  </si>
  <si>
    <t>CUMULATIVE</t>
  </si>
  <si>
    <t>'Total 5-year revenue is Rs.29.5 Cr. We are loss-making in Year 1 (Rs.88L loss) as we invest in product and growth. Year 2 turns profitable. By Year 5, annual profit is Rs.8.19 Cr with cumulative profit of Rs.14.17 Cr.'</t>
  </si>
  <si>
    <t>UNIT ECONOMICS</t>
  </si>
  <si>
    <t>KEY SaaS METRICS</t>
  </si>
  <si>
    <t>Benchmark</t>
  </si>
  <si>
    <t>Status</t>
  </si>
  <si>
    <t>ARPC (Annual)</t>
  </si>
  <si>
    <t>Rs.73,000</t>
  </si>
  <si>
    <t>Rs.30,000-100,000</t>
  </si>
  <si>
    <t>GOOD</t>
  </si>
  <si>
    <t>Rs.15,000-40,000</t>
  </si>
  <si>
    <t>EXCELLENT</t>
  </si>
  <si>
    <t>LTV (3 Years)</t>
  </si>
  <si>
    <t>Rs.186,150</t>
  </si>
  <si>
    <t>&gt; 3x ARPC</t>
  </si>
  <si>
    <t>LTV:CAC Ratio</t>
  </si>
  <si>
    <t>15.5:1</t>
  </si>
  <si>
    <t>&gt; 3:1</t>
  </si>
  <si>
    <t>OUTSTANDING</t>
  </si>
  <si>
    <t>CAC Payback</t>
  </si>
  <si>
    <t>2.0 months</t>
  </si>
  <si>
    <t>&lt; 12 months</t>
  </si>
  <si>
    <t>Gross Margin</t>
  </si>
  <si>
    <t>72%</t>
  </si>
  <si>
    <t>&gt; 70%</t>
  </si>
  <si>
    <t>Monthly Churn</t>
  </si>
  <si>
    <t>1.25%</t>
  </si>
  <si>
    <t>&lt; 2%</t>
  </si>
  <si>
    <t>LTV:CAC by Plan</t>
  </si>
  <si>
    <t>Ratio</t>
  </si>
  <si>
    <t>Ent Plus</t>
  </si>
  <si>
    <t>'Our LTV:CAC of 8.5:1 means we earn Rs.8.50 for every Rs.1 spent acquiring customers. Industry benchmark is 3:1. Our CAC payback of 2 months allows aggressive reinvestment in growth while staying capital-efficient.'</t>
  </si>
  <si>
    <t>BREAKEVEN ANALYSIS</t>
  </si>
  <si>
    <t>CASH FLOW PROJECTION (Rs. Lakhs)</t>
  </si>
  <si>
    <t>Item</t>
  </si>
  <si>
    <t>Y0</t>
  </si>
  <si>
    <t>Initial Investment</t>
  </si>
  <si>
    <t>Total Costs</t>
  </si>
  <si>
    <t>Net Cash Flow</t>
  </si>
  <si>
    <t>Cumulative</t>
  </si>
  <si>
    <t>BREAKEVEN SUMMARY</t>
  </si>
  <si>
    <t>Breakeven Point</t>
  </si>
  <si>
    <t>Year 5 Cumulative Profit</t>
  </si>
  <si>
    <t>Rs.14.17 Crores</t>
  </si>
  <si>
    <t>Cumulative P&amp;L Chart</t>
  </si>
  <si>
    <t>'We break even in 24-30 months on Rs.1.2 Cr investment. This is faster than typical SaaS (3-5 years). By Year 5, cumulative profit is Rs.14.17 Cr - an ROI of 1,181%. Even in our conservative scenario with 20% slower growth, we still break even by Month 36.'</t>
  </si>
  <si>
    <t>DEVELOPMENT AND OPERATING COSTS</t>
  </si>
  <si>
    <t>INITIAL DEVELOPMENT</t>
  </si>
  <si>
    <t>Phase</t>
  </si>
  <si>
    <t>Timeline</t>
  </si>
  <si>
    <t>Deliverables</t>
  </si>
  <si>
    <t>Cost (Rs. L)</t>
  </si>
  <si>
    <t>Phase 1: MVP</t>
  </si>
  <si>
    <t>0-6 months</t>
  </si>
  <si>
    <t>Route engine, Mobile apps, Dashboard</t>
  </si>
  <si>
    <t>Phase 2: Scale</t>
  </si>
  <si>
    <t>6-12 months</t>
  </si>
  <si>
    <t>Analytics, API, Integrations</t>
  </si>
  <si>
    <t>Phase 3: Enterprise</t>
  </si>
  <si>
    <t>12-18 months</t>
  </si>
  <si>
    <t>White-label, Security, Custom</t>
  </si>
  <si>
    <t>Contingency</t>
  </si>
  <si>
    <t>15% buffer</t>
  </si>
  <si>
    <t>18 months</t>
  </si>
  <si>
    <t>ANNUAL OPERATING COSTS (Rs. Lakhs)</t>
  </si>
  <si>
    <t>Category</t>
  </si>
  <si>
    <t>Cloud Infrastructure</t>
  </si>
  <si>
    <t>Third-Party APIs</t>
  </si>
  <si>
    <t>Tech Team</t>
  </si>
  <si>
    <t>Sales &amp; Support</t>
  </si>
  <si>
    <t>Office &amp; Admin</t>
  </si>
  <si>
    <t>Ongoing Dev</t>
  </si>
  <si>
    <t>TOTAL OPERATING</t>
  </si>
  <si>
    <t>Marketing</t>
  </si>
  <si>
    <t>GRAND TOTAL</t>
  </si>
  <si>
    <t>Y5 Cost Breakdown</t>
  </si>
  <si>
    <t>Amount</t>
  </si>
  <si>
    <t>Cloud</t>
  </si>
  <si>
    <t>APIs</t>
  </si>
  <si>
    <t>Tech</t>
  </si>
  <si>
    <t>Admin</t>
  </si>
  <si>
    <t>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</si>
</sst>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000000"/>
      <name val="Cambria"/>
      <family val="1"/>
    </font>
    <font>
      <b/>
      <sz val="12"/>
      <color rgb="FF1F4E79"/>
      <name val="Cambria"/>
      <family val="1"/>
    </font>
    <font>
      <b/>
      <sz val="11"/>
      <color rgb="FFFFFFFF"/>
      <name val="Cambria"/>
      <family val="1"/>
    </font>
    <font>
      <b/>
      <sz val="11"/>
      <color rgb="FF000000"/>
      <name val="Cambria"/>
      <family val="1"/>
    </font>
    <font>
      <i/>
      <sz val="10"/>
      <color rgb="FF666666"/>
      <name val="Cambria"/>
      <family val="1"/>
    </font>
    <font>
      <b/>
      <sz val="11"/>
      <color rgb="FF008000"/>
      <name val="Cambria"/>
      <family val="1"/>
    </font>
    <font>
      <b/>
      <sz val="11"/>
      <color rgb="FFFF0000"/>
      <name val="Cambria"/>
      <family val="1"/>
    </font>
    <font>
      <b/>
      <sz val="11"/>
      <color rgb="FF0000FF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5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0C0C0"/>
      <rgbColor rgb="FF878787"/>
      <rgbColor rgb="FF93A9CE"/>
      <rgbColor rgb="FFAB4744"/>
      <rgbColor rgb="FFFFF2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Y5 Customers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'GTM Strategy'!$F$25</c:f>
              <c:strCache>
                <c:ptCount val="1"/>
                <c:pt idx="0">
                  <c:v>Y5 Customers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'GTM Strategy'!$E$26:$E$31</c:f>
              <c:strCache>
                <c:ptCount val="6"/>
                <c:pt idx="0">
                  <c:v>Digital Ads</c:v>
                </c:pt>
                <c:pt idx="1">
                  <c:v>Associations</c:v>
                </c:pt>
                <c:pt idx="2">
                  <c:v>Hubs</c:v>
                </c:pt>
                <c:pt idx="3">
                  <c:v>Referrals</c:v>
                </c:pt>
                <c:pt idx="4">
                  <c:v>SEO</c:v>
                </c:pt>
                <c:pt idx="5">
                  <c:v>Sales</c:v>
                </c:pt>
              </c:strCache>
            </c:strRef>
          </c:cat>
          <c:val>
            <c:numRef>
              <c:f>'GTM Strategy'!$F$26:$F$31</c:f>
              <c:numCache>
                <c:formatCode>General</c:formatCode>
                <c:ptCount val="6"/>
                <c:pt idx="0">
                  <c:v>400</c:v>
                </c:pt>
                <c:pt idx="1">
                  <c:v>200</c:v>
                </c:pt>
                <c:pt idx="2">
                  <c:v>350</c:v>
                </c:pt>
                <c:pt idx="3">
                  <c:v>400</c:v>
                </c:pt>
                <c:pt idx="4">
                  <c:v>180</c:v>
                </c:pt>
                <c:pt idx="5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4-9541-A59D-4870376E8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76773"/>
        <c:axId val="54660140"/>
      </c:barChart>
      <c:catAx>
        <c:axId val="34276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660140"/>
        <c:crosses val="autoZero"/>
        <c:auto val="1"/>
        <c:lblAlgn val="ctr"/>
        <c:lblOffset val="100"/>
        <c:noMultiLvlLbl val="0"/>
      </c:catAx>
      <c:valAx>
        <c:axId val="546601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767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Competitive Moat Strength (1-10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'Competitive Moat'!$B$29</c:f>
              <c:strCache>
                <c:ptCount val="1"/>
                <c:pt idx="0">
                  <c:v>Moat Score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'Competitive Moat'!$A$30:$A$34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'Competitive Moat'!$B$30:$B$34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B2-4840-828C-92D347B65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346344"/>
        <c:axId val="69471751"/>
      </c:lineChart>
      <c:catAx>
        <c:axId val="19346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71751"/>
        <c:crosses val="autoZero"/>
        <c:auto val="1"/>
        <c:lblAlgn val="ctr"/>
        <c:lblOffset val="100"/>
        <c:noMultiLvlLbl val="0"/>
      </c:catAx>
      <c:valAx>
        <c:axId val="694717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Moat Strength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46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vs Profit (Rs.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Summary'!$B$15</c:f>
              <c:strCache>
                <c:ptCount val="1"/>
                <c:pt idx="0">
                  <c:v>80.7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Summary'!$B$14:$F$14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'Executive Summary'!$C$15:$F$15</c:f>
              <c:numCache>
                <c:formatCode>General</c:formatCode>
                <c:ptCount val="4"/>
                <c:pt idx="0">
                  <c:v>250.3</c:v>
                </c:pt>
                <c:pt idx="1">
                  <c:v>509.4</c:v>
                </c:pt>
                <c:pt idx="2">
                  <c:v>845.3</c:v>
                </c:pt>
                <c:pt idx="3">
                  <c:v>1239.5999999999999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6-2C42-8848-62D2EA63A7E9}"/>
            </c:ext>
          </c:extLst>
        </c:ser>
        <c:ser>
          <c:idx val="1"/>
          <c:order val="1"/>
          <c:tx>
            <c:strRef>
              <c:f>'Executive Summary'!$B$16</c:f>
              <c:strCache>
                <c:ptCount val="1"/>
                <c:pt idx="0">
                  <c:v>-86.3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Summary'!$B$14:$F$14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'Executive Summary'!$C$16:$F$16</c:f>
              <c:numCache>
                <c:formatCode>General</c:formatCode>
                <c:ptCount val="4"/>
                <c:pt idx="0">
                  <c:v>49</c:v>
                </c:pt>
                <c:pt idx="1">
                  <c:v>251.7</c:v>
                </c:pt>
                <c:pt idx="2">
                  <c:v>509.2</c:v>
                </c:pt>
                <c:pt idx="3">
                  <c:v>818.6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6-2C42-8848-62D2EA63A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00680"/>
        <c:axId val="56266242"/>
      </c:barChart>
      <c:catAx>
        <c:axId val="7400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266242"/>
        <c:crosses val="autoZero"/>
        <c:auto val="1"/>
        <c:lblAlgn val="ctr"/>
        <c:lblOffset val="100"/>
        <c:noMultiLvlLbl val="0"/>
      </c:catAx>
      <c:valAx>
        <c:axId val="56266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06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Market Opportunity (Rs.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'Market Research'!$B$19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'Market Research'!$A$20:$A$22</c:f>
              <c:strCache>
                <c:ptCount val="3"/>
                <c:pt idx="0">
                  <c:v>TAM</c:v>
                </c:pt>
                <c:pt idx="1">
                  <c:v>SAM</c:v>
                </c:pt>
                <c:pt idx="2">
                  <c:v>SOM</c:v>
                </c:pt>
              </c:strCache>
            </c:strRef>
          </c:cat>
          <c:val>
            <c:numRef>
              <c:f>'Market Research'!$B$20:$B$22</c:f>
              <c:numCache>
                <c:formatCode>General</c:formatCode>
                <c:ptCount val="3"/>
                <c:pt idx="0">
                  <c:v>1008</c:v>
                </c:pt>
                <c:pt idx="1">
                  <c:v>350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9-8D4C-A841-6A91A2AD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0720"/>
        <c:axId val="72380179"/>
      </c:barChart>
      <c:catAx>
        <c:axId val="1473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380179"/>
        <c:crosses val="autoZero"/>
        <c:auto val="1"/>
        <c:lblAlgn val="ctr"/>
        <c:lblOffset val="100"/>
        <c:noMultiLvlLbl val="0"/>
      </c:catAx>
      <c:valAx>
        <c:axId val="72380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730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Price Comparison (Rs./Vehicle/Month)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'Pricing Strategy'!$B$20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'Pricing Strategy'!$A$21:$A$24</c:f>
              <c:strCache>
                <c:ptCount val="4"/>
                <c:pt idx="0">
                  <c:v>Locus</c:v>
                </c:pt>
                <c:pt idx="1">
                  <c:v>FarEye</c:v>
                </c:pt>
                <c:pt idx="2">
                  <c:v>LogiNext</c:v>
                </c:pt>
                <c:pt idx="3">
                  <c:v>ChainSync</c:v>
                </c:pt>
              </c:strCache>
            </c:strRef>
          </c:cat>
          <c:val>
            <c:numRef>
              <c:f>'Pricing Strategy'!$B$21:$B$24</c:f>
              <c:numCache>
                <c:formatCode>General</c:formatCode>
                <c:ptCount val="4"/>
                <c:pt idx="0">
                  <c:v>2250</c:v>
                </c:pt>
                <c:pt idx="1">
                  <c:v>3000</c:v>
                </c:pt>
                <c:pt idx="2">
                  <c:v>1850</c:v>
                </c:pt>
                <c:pt idx="3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D-BB41-BA3E-2BC20F165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039700"/>
        <c:axId val="77552493"/>
      </c:barChart>
      <c:catAx>
        <c:axId val="840397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52493"/>
        <c:crosses val="autoZero"/>
        <c:auto val="1"/>
        <c:lblAlgn val="ctr"/>
        <c:lblOffset val="100"/>
        <c:noMultiLvlLbl val="0"/>
      </c:catAx>
      <c:valAx>
        <c:axId val="775524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0397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Growth (Rs.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'Revenue Projections'!$B$9</c:f>
              <c:strCache>
                <c:ptCount val="1"/>
                <c:pt idx="0">
                  <c:v>80.7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Projections'!$B$4:$F$4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'Revenue Projections'!$C$9:$F$9</c:f>
              <c:numCache>
                <c:formatCode>General</c:formatCode>
                <c:ptCount val="4"/>
                <c:pt idx="0">
                  <c:v>250.3</c:v>
                </c:pt>
                <c:pt idx="1">
                  <c:v>509.4</c:v>
                </c:pt>
                <c:pt idx="2">
                  <c:v>845.3</c:v>
                </c:pt>
                <c:pt idx="3">
                  <c:v>1239.5999999999999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D-444E-BF9C-F5251309A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90291"/>
        <c:axId val="38940077"/>
      </c:areaChart>
      <c:catAx>
        <c:axId val="827902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40077"/>
        <c:crosses val="autoZero"/>
        <c:auto val="1"/>
        <c:lblAlgn val="ctr"/>
        <c:lblOffset val="100"/>
        <c:noMultiLvlLbl val="0"/>
      </c:catAx>
      <c:valAx>
        <c:axId val="38940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79029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LTV:CAC Ratio by Plan (Benchmark: 3:1)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 Economics'!$B$15</c:f>
              <c:strCache>
                <c:ptCount val="1"/>
                <c:pt idx="0">
                  <c:v>Ratio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'Unit Economics'!$A$16:$A$20</c:f>
              <c:strCache>
                <c:ptCount val="5"/>
                <c:pt idx="0">
                  <c:v>Starter</c:v>
                </c:pt>
                <c:pt idx="1">
                  <c:v>Professional</c:v>
                </c:pt>
                <c:pt idx="2">
                  <c:v>Enterprise</c:v>
                </c:pt>
                <c:pt idx="3">
                  <c:v>Ent Plus</c:v>
                </c:pt>
                <c:pt idx="4">
                  <c:v>Benchmark</c:v>
                </c:pt>
              </c:strCache>
            </c:strRef>
          </c:cat>
          <c:val>
            <c:numRef>
              <c:f>'Unit Economics'!$B$16:$B$20</c:f>
              <c:numCache>
                <c:formatCode>General</c:formatCode>
                <c:ptCount val="5"/>
                <c:pt idx="0">
                  <c:v>8.6</c:v>
                </c:pt>
                <c:pt idx="1">
                  <c:v>14.6</c:v>
                </c:pt>
                <c:pt idx="2">
                  <c:v>12</c:v>
                </c:pt>
                <c:pt idx="3">
                  <c:v>10.7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8-2848-8E68-2652C84F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687483"/>
        <c:axId val="60763032"/>
      </c:barChart>
      <c:catAx>
        <c:axId val="896874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763032"/>
        <c:crosses val="autoZero"/>
        <c:auto val="1"/>
        <c:lblAlgn val="ctr"/>
        <c:lblOffset val="100"/>
        <c:noMultiLvlLbl val="0"/>
      </c:catAx>
      <c:valAx>
        <c:axId val="607630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6874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Path to Profitability (Rs. Lakhs)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'Breakeven Analysis'!$B$20</c:f>
              <c:strCache>
                <c:ptCount val="1"/>
                <c:pt idx="0">
                  <c:v>Cumulative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'Breakeven Analysis'!$A$21:$A$26</c:f>
              <c:strCache>
                <c:ptCount val="6"/>
                <c:pt idx="0">
                  <c:v>Y0</c:v>
                </c:pt>
                <c:pt idx="1">
                  <c:v>Y1</c:v>
                </c:pt>
                <c:pt idx="2">
                  <c:v>Y2</c:v>
                </c:pt>
                <c:pt idx="3">
                  <c:v>Y3</c:v>
                </c:pt>
                <c:pt idx="4">
                  <c:v>Y4</c:v>
                </c:pt>
                <c:pt idx="5">
                  <c:v>Y5</c:v>
                </c:pt>
              </c:strCache>
            </c:strRef>
          </c:cat>
          <c:val>
            <c:numRef>
              <c:f>'Breakeven Analysis'!$B$21:$B$26</c:f>
              <c:numCache>
                <c:formatCode>General</c:formatCode>
                <c:ptCount val="6"/>
                <c:pt idx="0">
                  <c:v>-120</c:v>
                </c:pt>
                <c:pt idx="1">
                  <c:v>-206.3</c:v>
                </c:pt>
                <c:pt idx="2">
                  <c:v>-157.30000000000001</c:v>
                </c:pt>
                <c:pt idx="3">
                  <c:v>94.4</c:v>
                </c:pt>
                <c:pt idx="4">
                  <c:v>603.6</c:v>
                </c:pt>
                <c:pt idx="5">
                  <c:v>1422.2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AE-4E4C-A05A-5E7E90F56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937026"/>
        <c:axId val="8209601"/>
      </c:lineChart>
      <c:catAx>
        <c:axId val="54937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09601"/>
        <c:crosses val="autoZero"/>
        <c:auto val="1"/>
        <c:lblAlgn val="ctr"/>
        <c:lblOffset val="100"/>
        <c:noMultiLvlLbl val="0"/>
      </c:catAx>
      <c:valAx>
        <c:axId val="82096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937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Year 5 Cost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'Development Costs'!$B$26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19C-CE4F-A704-2C73B4FCBCD3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19C-CE4F-A704-2C73B4FCBCD3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19C-CE4F-A704-2C73B4FCBCD3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19C-CE4F-A704-2C73B4FCBCD3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19C-CE4F-A704-2C73B4FCBCD3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19C-CE4F-A704-2C73B4FCBCD3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819C-CE4F-A704-2C73B4FCBCD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19C-CE4F-A704-2C73B4FCBCD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19C-CE4F-A704-2C73B4FCBCD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19C-CE4F-A704-2C73B4FCBCD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19C-CE4F-A704-2C73B4FCBCD3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19C-CE4F-A704-2C73B4FCBCD3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19C-CE4F-A704-2C73B4FCBCD3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19C-CE4F-A704-2C73B4FCBC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'Development Costs'!$A$27:$A$33</c:f>
              <c:strCache>
                <c:ptCount val="7"/>
                <c:pt idx="0">
                  <c:v>Cloud</c:v>
                </c:pt>
                <c:pt idx="1">
                  <c:v>APIs</c:v>
                </c:pt>
                <c:pt idx="2">
                  <c:v>Tech</c:v>
                </c:pt>
                <c:pt idx="3">
                  <c:v>Sales</c:v>
                </c:pt>
                <c:pt idx="4">
                  <c:v>Admin</c:v>
                </c:pt>
                <c:pt idx="5">
                  <c:v>Dev</c:v>
                </c:pt>
                <c:pt idx="6">
                  <c:v>Marketing</c:v>
                </c:pt>
              </c:strCache>
            </c:strRef>
          </c:cat>
          <c:val>
            <c:numRef>
              <c:f>'Development Costs'!$B$27:$B$33</c:f>
              <c:numCache>
                <c:formatCode>General</c:formatCode>
                <c:ptCount val="7"/>
                <c:pt idx="0">
                  <c:v>55</c:v>
                </c:pt>
                <c:pt idx="1">
                  <c:v>28</c:v>
                </c:pt>
                <c:pt idx="2">
                  <c:v>85</c:v>
                </c:pt>
                <c:pt idx="3">
                  <c:v>70</c:v>
                </c:pt>
                <c:pt idx="4">
                  <c:v>25</c:v>
                </c:pt>
                <c:pt idx="5">
                  <c:v>32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19C-CE4F-A704-2C73B4FCB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254000</xdr:colOff>
      <xdr:row>6</xdr:row>
      <xdr:rowOff>480460</xdr:rowOff>
    </xdr:from>
    <xdr:to>
      <xdr:col>6</xdr:col>
      <xdr:colOff>752240</xdr:colOff>
      <xdr:row>9</xdr:row>
      <xdr:rowOff>773100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185940</xdr:rowOff>
    </xdr:from>
    <xdr:to>
      <xdr:col>2</xdr:col>
      <xdr:colOff>936360</xdr:colOff>
      <xdr:row>39</xdr:row>
      <xdr:rowOff>165540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181800</xdr:rowOff>
    </xdr:from>
    <xdr:to>
      <xdr:col>3</xdr:col>
      <xdr:colOff>1233360</xdr:colOff>
      <xdr:row>35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12240</xdr:rowOff>
    </xdr:from>
    <xdr:to>
      <xdr:col>3</xdr:col>
      <xdr:colOff>90360</xdr:colOff>
      <xdr:row>35</xdr:row>
      <xdr:rowOff>55080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160560</xdr:rowOff>
    </xdr:from>
    <xdr:to>
      <xdr:col>3</xdr:col>
      <xdr:colOff>90360</xdr:colOff>
      <xdr:row>39</xdr:row>
      <xdr:rowOff>13320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181800</xdr:rowOff>
    </xdr:from>
    <xdr:to>
      <xdr:col>4</xdr:col>
      <xdr:colOff>528480</xdr:colOff>
      <xdr:row>36</xdr:row>
      <xdr:rowOff>13320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160920</xdr:rowOff>
    </xdr:from>
    <xdr:to>
      <xdr:col>3</xdr:col>
      <xdr:colOff>90360</xdr:colOff>
      <xdr:row>35</xdr:row>
      <xdr:rowOff>13320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160920</xdr:rowOff>
    </xdr:from>
    <xdr:to>
      <xdr:col>3</xdr:col>
      <xdr:colOff>513360</xdr:colOff>
      <xdr:row>41</xdr:row>
      <xdr:rowOff>13320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25400</xdr:colOff>
      <xdr:row>23</xdr:row>
      <xdr:rowOff>185520</xdr:rowOff>
    </xdr:from>
    <xdr:to>
      <xdr:col>4</xdr:col>
      <xdr:colOff>805880</xdr:colOff>
      <xdr:row>37</xdr:row>
      <xdr:rowOff>38220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opLeftCell="A21" zoomScaleNormal="100" workbookViewId="0">
      <selection sqref="A1:G1"/>
    </sheetView>
  </sheetViews>
  <sheetFormatPr baseColWidth="10" defaultColWidth="8.6640625" defaultRowHeight="15" x14ac:dyDescent="0.2"/>
  <cols>
    <col min="1" max="7" width="22" customWidth="1"/>
  </cols>
  <sheetData>
    <row r="1" spans="1:7" ht="18" x14ac:dyDescent="0.2">
      <c r="A1" s="4" t="s">
        <v>0</v>
      </c>
      <c r="B1" s="4"/>
      <c r="C1" s="4"/>
      <c r="D1" s="4"/>
      <c r="E1" s="4"/>
      <c r="F1" s="4"/>
      <c r="G1" s="4"/>
    </row>
    <row r="3" spans="1:7" ht="16" x14ac:dyDescent="0.2">
      <c r="A3" s="3" t="s">
        <v>1</v>
      </c>
      <c r="B3" s="3"/>
      <c r="C3" s="3"/>
      <c r="D3" s="3"/>
      <c r="E3" s="3"/>
      <c r="F3" s="3"/>
      <c r="G3" s="3"/>
    </row>
    <row r="5" spans="1:7" ht="16" x14ac:dyDescent="0.2">
      <c r="A5" s="6" t="s">
        <v>2</v>
      </c>
    </row>
    <row r="6" spans="1:7" ht="30" x14ac:dyDescent="0.2">
      <c r="A6" s="7" t="s">
        <v>3</v>
      </c>
      <c r="B6" s="7" t="s">
        <v>4</v>
      </c>
      <c r="C6" s="7" t="s">
        <v>5</v>
      </c>
      <c r="D6" s="7" t="s">
        <v>6</v>
      </c>
    </row>
    <row r="7" spans="1:7" ht="80" x14ac:dyDescent="0.2">
      <c r="A7" s="8" t="s">
        <v>7</v>
      </c>
      <c r="B7" s="9" t="s">
        <v>8</v>
      </c>
      <c r="C7" s="9" t="s">
        <v>9</v>
      </c>
      <c r="D7" s="9" t="s">
        <v>10</v>
      </c>
    </row>
    <row r="8" spans="1:7" ht="64" x14ac:dyDescent="0.2">
      <c r="A8" s="8" t="s">
        <v>11</v>
      </c>
      <c r="B8" s="9" t="s">
        <v>12</v>
      </c>
      <c r="C8" s="9" t="s">
        <v>13</v>
      </c>
      <c r="D8" s="9" t="s">
        <v>14</v>
      </c>
    </row>
    <row r="9" spans="1:7" ht="64" x14ac:dyDescent="0.2">
      <c r="A9" s="8" t="s">
        <v>15</v>
      </c>
      <c r="B9" s="9" t="s">
        <v>16</v>
      </c>
      <c r="C9" s="9" t="s">
        <v>17</v>
      </c>
      <c r="D9" s="9" t="s">
        <v>18</v>
      </c>
    </row>
    <row r="10" spans="1:7" ht="64" x14ac:dyDescent="0.2">
      <c r="A10" s="8" t="s">
        <v>19</v>
      </c>
      <c r="B10" s="9" t="s">
        <v>20</v>
      </c>
      <c r="C10" s="9" t="s">
        <v>21</v>
      </c>
      <c r="D10" s="9" t="s">
        <v>22</v>
      </c>
    </row>
    <row r="13" spans="1:7" ht="16" x14ac:dyDescent="0.2">
      <c r="A13" s="6" t="s">
        <v>23</v>
      </c>
    </row>
    <row r="14" spans="1:7" x14ac:dyDescent="0.2">
      <c r="A14" s="7" t="s">
        <v>24</v>
      </c>
      <c r="B14" s="7" t="s">
        <v>25</v>
      </c>
      <c r="C14" s="7" t="s">
        <v>26</v>
      </c>
      <c r="D14" s="7" t="s">
        <v>27</v>
      </c>
      <c r="E14" s="7" t="s">
        <v>28</v>
      </c>
      <c r="F14" s="7" t="s">
        <v>29</v>
      </c>
    </row>
    <row r="15" spans="1:7" ht="48" x14ac:dyDescent="0.2">
      <c r="A15" s="10" t="s">
        <v>30</v>
      </c>
      <c r="B15" s="10" t="s">
        <v>31</v>
      </c>
      <c r="C15" s="10">
        <v>40</v>
      </c>
      <c r="D15" s="10">
        <v>400</v>
      </c>
      <c r="E15" s="10" t="s">
        <v>32</v>
      </c>
      <c r="F15" s="9" t="s">
        <v>33</v>
      </c>
    </row>
    <row r="16" spans="1:7" ht="64" x14ac:dyDescent="0.2">
      <c r="A16" s="10" t="s">
        <v>34</v>
      </c>
      <c r="B16" s="10" t="s">
        <v>35</v>
      </c>
      <c r="C16" s="10">
        <v>25</v>
      </c>
      <c r="D16" s="10">
        <v>200</v>
      </c>
      <c r="E16" s="10" t="s">
        <v>36</v>
      </c>
      <c r="F16" s="9" t="s">
        <v>37</v>
      </c>
    </row>
    <row r="17" spans="1:6" ht="64" x14ac:dyDescent="0.2">
      <c r="A17" s="10" t="s">
        <v>38</v>
      </c>
      <c r="B17" s="10" t="s">
        <v>39</v>
      </c>
      <c r="C17" s="10">
        <v>30</v>
      </c>
      <c r="D17" s="10">
        <v>350</v>
      </c>
      <c r="E17" s="10" t="s">
        <v>40</v>
      </c>
      <c r="F17" s="9" t="s">
        <v>41</v>
      </c>
    </row>
    <row r="18" spans="1:6" ht="48" x14ac:dyDescent="0.2">
      <c r="A18" s="10" t="s">
        <v>42</v>
      </c>
      <c r="B18" s="10" t="s">
        <v>39</v>
      </c>
      <c r="C18" s="10">
        <v>20</v>
      </c>
      <c r="D18" s="10">
        <v>400</v>
      </c>
      <c r="E18" s="10" t="s">
        <v>43</v>
      </c>
      <c r="F18" s="9" t="s">
        <v>44</v>
      </c>
    </row>
    <row r="19" spans="1:6" ht="64" x14ac:dyDescent="0.2">
      <c r="A19" s="10" t="s">
        <v>45</v>
      </c>
      <c r="B19" s="10" t="s">
        <v>46</v>
      </c>
      <c r="C19" s="10">
        <v>10</v>
      </c>
      <c r="D19" s="10">
        <v>180</v>
      </c>
      <c r="E19" s="10" t="s">
        <v>47</v>
      </c>
      <c r="F19" s="9" t="s">
        <v>48</v>
      </c>
    </row>
    <row r="20" spans="1:6" ht="48" x14ac:dyDescent="0.2">
      <c r="A20" s="10" t="s">
        <v>49</v>
      </c>
      <c r="B20" s="10" t="s">
        <v>50</v>
      </c>
      <c r="C20" s="10">
        <v>3</v>
      </c>
      <c r="D20" s="10">
        <v>68</v>
      </c>
      <c r="E20" s="10" t="s">
        <v>51</v>
      </c>
      <c r="F20" s="9" t="s">
        <v>52</v>
      </c>
    </row>
    <row r="21" spans="1:6" x14ac:dyDescent="0.2">
      <c r="A21" s="11" t="s">
        <v>53</v>
      </c>
      <c r="B21" s="11"/>
      <c r="C21" s="11">
        <v>128</v>
      </c>
      <c r="D21" s="11">
        <v>1598</v>
      </c>
      <c r="E21" s="11" t="s">
        <v>54</v>
      </c>
      <c r="F21" s="12"/>
    </row>
    <row r="24" spans="1:6" ht="16" x14ac:dyDescent="0.2">
      <c r="A24" s="6" t="s">
        <v>55</v>
      </c>
      <c r="E24" t="s">
        <v>56</v>
      </c>
    </row>
    <row r="25" spans="1:6" x14ac:dyDescent="0.2">
      <c r="A25" s="7" t="s">
        <v>57</v>
      </c>
      <c r="B25" s="7" t="s">
        <v>58</v>
      </c>
      <c r="C25" s="7" t="s">
        <v>59</v>
      </c>
      <c r="D25" s="7" t="s">
        <v>60</v>
      </c>
      <c r="E25" t="s">
        <v>24</v>
      </c>
      <c r="F25" t="s">
        <v>61</v>
      </c>
    </row>
    <row r="26" spans="1:6" ht="32" x14ac:dyDescent="0.2">
      <c r="A26" s="10" t="s">
        <v>62</v>
      </c>
      <c r="B26" s="10" t="s">
        <v>63</v>
      </c>
      <c r="C26" s="10" t="s">
        <v>64</v>
      </c>
      <c r="D26" s="9" t="s">
        <v>65</v>
      </c>
      <c r="E26" t="s">
        <v>66</v>
      </c>
      <c r="F26">
        <v>400</v>
      </c>
    </row>
    <row r="27" spans="1:6" ht="48" x14ac:dyDescent="0.2">
      <c r="A27" s="10" t="s">
        <v>67</v>
      </c>
      <c r="B27" s="10" t="s">
        <v>68</v>
      </c>
      <c r="C27" s="10" t="s">
        <v>69</v>
      </c>
      <c r="D27" s="9" t="s">
        <v>70</v>
      </c>
      <c r="E27" t="s">
        <v>71</v>
      </c>
      <c r="F27">
        <v>200</v>
      </c>
    </row>
    <row r="28" spans="1:6" ht="32" x14ac:dyDescent="0.2">
      <c r="A28" s="10" t="s">
        <v>72</v>
      </c>
      <c r="B28" s="10" t="s">
        <v>73</v>
      </c>
      <c r="C28" s="10" t="s">
        <v>74</v>
      </c>
      <c r="D28" s="9" t="s">
        <v>75</v>
      </c>
      <c r="E28" t="s">
        <v>76</v>
      </c>
      <c r="F28">
        <v>350</v>
      </c>
    </row>
    <row r="29" spans="1:6" ht="48" x14ac:dyDescent="0.2">
      <c r="A29" s="10" t="s">
        <v>77</v>
      </c>
      <c r="B29" s="10" t="s">
        <v>78</v>
      </c>
      <c r="C29" s="10" t="s">
        <v>79</v>
      </c>
      <c r="D29" s="9" t="s">
        <v>80</v>
      </c>
      <c r="E29" t="s">
        <v>81</v>
      </c>
      <c r="F29">
        <v>400</v>
      </c>
    </row>
    <row r="30" spans="1:6" ht="32" x14ac:dyDescent="0.2">
      <c r="A30" s="10" t="s">
        <v>82</v>
      </c>
      <c r="B30" s="10" t="s">
        <v>83</v>
      </c>
      <c r="C30" s="10" t="s">
        <v>84</v>
      </c>
      <c r="D30" s="9" t="s">
        <v>85</v>
      </c>
      <c r="E30" t="s">
        <v>86</v>
      </c>
      <c r="F30">
        <v>180</v>
      </c>
    </row>
    <row r="31" spans="1:6" x14ac:dyDescent="0.2">
      <c r="E31" t="s">
        <v>87</v>
      </c>
      <c r="F31">
        <v>68</v>
      </c>
    </row>
    <row r="33" spans="1:7" x14ac:dyDescent="0.2">
      <c r="A33" s="2" t="s">
        <v>88</v>
      </c>
      <c r="B33" s="2"/>
      <c r="C33" s="2"/>
      <c r="D33" s="2"/>
      <c r="E33" s="2"/>
      <c r="F33" s="2"/>
    </row>
    <row r="36" spans="1:7" ht="16" x14ac:dyDescent="0.2">
      <c r="A36" s="6" t="s">
        <v>89</v>
      </c>
    </row>
    <row r="37" spans="1:7" x14ac:dyDescent="0.2">
      <c r="A37" s="7" t="s">
        <v>90</v>
      </c>
      <c r="B37" s="7" t="s">
        <v>91</v>
      </c>
      <c r="C37" s="7" t="s">
        <v>92</v>
      </c>
    </row>
    <row r="38" spans="1:7" ht="32" x14ac:dyDescent="0.2">
      <c r="A38" s="9" t="s">
        <v>93</v>
      </c>
      <c r="B38" s="9" t="s">
        <v>94</v>
      </c>
      <c r="C38" s="9" t="s">
        <v>95</v>
      </c>
    </row>
    <row r="39" spans="1:7" ht="48" x14ac:dyDescent="0.2">
      <c r="A39" s="9" t="s">
        <v>96</v>
      </c>
      <c r="B39" s="9" t="s">
        <v>97</v>
      </c>
      <c r="C39" s="9" t="s">
        <v>98</v>
      </c>
    </row>
    <row r="40" spans="1:7" ht="32" x14ac:dyDescent="0.2">
      <c r="A40" s="9" t="s">
        <v>99</v>
      </c>
      <c r="B40" s="9" t="s">
        <v>100</v>
      </c>
      <c r="C40" s="9" t="s">
        <v>101</v>
      </c>
    </row>
    <row r="41" spans="1:7" ht="32" x14ac:dyDescent="0.2">
      <c r="A41" s="9" t="s">
        <v>102</v>
      </c>
      <c r="B41" s="9" t="s">
        <v>103</v>
      </c>
      <c r="C41" s="9" t="s">
        <v>104</v>
      </c>
    </row>
    <row r="42" spans="1:7" ht="32" x14ac:dyDescent="0.2">
      <c r="A42" s="9" t="s">
        <v>105</v>
      </c>
      <c r="B42" s="9" t="s">
        <v>106</v>
      </c>
      <c r="C42" s="9" t="s">
        <v>107</v>
      </c>
    </row>
    <row r="45" spans="1:7" x14ac:dyDescent="0.2">
      <c r="A45" s="13" t="s">
        <v>108</v>
      </c>
    </row>
    <row r="46" spans="1:7" x14ac:dyDescent="0.2">
      <c r="A46" s="2" t="s">
        <v>109</v>
      </c>
      <c r="B46" s="2"/>
      <c r="C46" s="2"/>
      <c r="D46" s="2"/>
      <c r="E46" s="2"/>
      <c r="F46" s="2"/>
      <c r="G46" s="2"/>
    </row>
  </sheetData>
  <mergeCells count="4">
    <mergeCell ref="A1:G1"/>
    <mergeCell ref="A3:G3"/>
    <mergeCell ref="A33:F33"/>
    <mergeCell ref="A46:G4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topLeftCell="A6" zoomScaleNormal="100" workbookViewId="0">
      <selection sqref="A1:F1"/>
    </sheetView>
  </sheetViews>
  <sheetFormatPr baseColWidth="10" defaultColWidth="8.6640625" defaultRowHeight="15" x14ac:dyDescent="0.2"/>
  <cols>
    <col min="1" max="6" width="24" customWidth="1"/>
  </cols>
  <sheetData>
    <row r="1" spans="1:6" ht="18" x14ac:dyDescent="0.2">
      <c r="A1" s="4" t="s">
        <v>110</v>
      </c>
      <c r="B1" s="4"/>
      <c r="C1" s="4"/>
      <c r="D1" s="4"/>
      <c r="E1" s="4"/>
      <c r="F1" s="4"/>
    </row>
    <row r="3" spans="1:6" ht="16" x14ac:dyDescent="0.2">
      <c r="A3" s="6" t="s">
        <v>111</v>
      </c>
    </row>
    <row r="4" spans="1:6" x14ac:dyDescent="0.2">
      <c r="A4" s="7" t="s">
        <v>112</v>
      </c>
      <c r="B4" s="7" t="s">
        <v>113</v>
      </c>
      <c r="C4" s="7" t="s">
        <v>114</v>
      </c>
      <c r="D4" s="7" t="s">
        <v>115</v>
      </c>
    </row>
    <row r="5" spans="1:6" ht="48" x14ac:dyDescent="0.2">
      <c r="A5" s="9" t="s">
        <v>116</v>
      </c>
      <c r="B5" s="10" t="s">
        <v>117</v>
      </c>
      <c r="C5" s="14" t="s">
        <v>118</v>
      </c>
      <c r="D5" s="10" t="s">
        <v>119</v>
      </c>
    </row>
    <row r="6" spans="1:6" ht="48" x14ac:dyDescent="0.2">
      <c r="A6" s="9" t="s">
        <v>120</v>
      </c>
      <c r="B6" s="10" t="s">
        <v>121</v>
      </c>
      <c r="C6" s="10" t="s">
        <v>122</v>
      </c>
      <c r="D6" s="10" t="s">
        <v>123</v>
      </c>
    </row>
    <row r="7" spans="1:6" ht="48" x14ac:dyDescent="0.2">
      <c r="A7" s="9" t="s">
        <v>124</v>
      </c>
      <c r="B7" s="10" t="s">
        <v>125</v>
      </c>
      <c r="C7" s="14" t="s">
        <v>118</v>
      </c>
      <c r="D7" s="10" t="s">
        <v>126</v>
      </c>
    </row>
    <row r="8" spans="1:6" ht="48" x14ac:dyDescent="0.2">
      <c r="A8" s="9" t="s">
        <v>127</v>
      </c>
      <c r="B8" s="10" t="s">
        <v>128</v>
      </c>
      <c r="C8" s="10" t="s">
        <v>122</v>
      </c>
      <c r="D8" s="10" t="s">
        <v>123</v>
      </c>
    </row>
    <row r="9" spans="1:6" ht="48" x14ac:dyDescent="0.2">
      <c r="A9" s="9" t="s">
        <v>129</v>
      </c>
      <c r="B9" s="10" t="s">
        <v>130</v>
      </c>
      <c r="C9" s="14" t="s">
        <v>131</v>
      </c>
      <c r="D9" s="10" t="s">
        <v>132</v>
      </c>
    </row>
    <row r="12" spans="1:6" ht="16" x14ac:dyDescent="0.2">
      <c r="A12" s="6" t="s">
        <v>133</v>
      </c>
    </row>
    <row r="13" spans="1:6" x14ac:dyDescent="0.2">
      <c r="A13" s="7" t="s">
        <v>134</v>
      </c>
      <c r="B13" s="7" t="s">
        <v>135</v>
      </c>
      <c r="C13" s="7" t="s">
        <v>136</v>
      </c>
    </row>
    <row r="14" spans="1:6" ht="48" x14ac:dyDescent="0.2">
      <c r="A14" s="9" t="s">
        <v>137</v>
      </c>
      <c r="B14" s="9" t="s">
        <v>138</v>
      </c>
      <c r="C14" s="9" t="s">
        <v>139</v>
      </c>
    </row>
    <row r="15" spans="1:6" ht="48" x14ac:dyDescent="0.2">
      <c r="A15" s="9" t="s">
        <v>140</v>
      </c>
      <c r="B15" s="9" t="s">
        <v>141</v>
      </c>
      <c r="C15" s="9" t="s">
        <v>142</v>
      </c>
    </row>
    <row r="16" spans="1:6" ht="48" x14ac:dyDescent="0.2">
      <c r="A16" s="9" t="s">
        <v>143</v>
      </c>
      <c r="B16" s="9" t="s">
        <v>144</v>
      </c>
      <c r="C16" s="9" t="s">
        <v>145</v>
      </c>
    </row>
    <row r="19" spans="1:4" ht="16" x14ac:dyDescent="0.2">
      <c r="A19" s="6" t="s">
        <v>146</v>
      </c>
    </row>
    <row r="20" spans="1:4" x14ac:dyDescent="0.2">
      <c r="A20" s="7" t="s">
        <v>147</v>
      </c>
      <c r="B20" s="7" t="s">
        <v>148</v>
      </c>
      <c r="C20" s="7" t="s">
        <v>149</v>
      </c>
      <c r="D20" s="7" t="s">
        <v>150</v>
      </c>
    </row>
    <row r="21" spans="1:4" ht="48" x14ac:dyDescent="0.2">
      <c r="A21" s="9" t="s">
        <v>151</v>
      </c>
      <c r="B21" s="9" t="s">
        <v>152</v>
      </c>
      <c r="C21" s="9" t="s">
        <v>153</v>
      </c>
      <c r="D21" s="9" t="s">
        <v>154</v>
      </c>
    </row>
    <row r="22" spans="1:4" ht="48" x14ac:dyDescent="0.2">
      <c r="A22" s="9" t="s">
        <v>155</v>
      </c>
      <c r="B22" s="9" t="s">
        <v>156</v>
      </c>
      <c r="C22" s="9" t="s">
        <v>157</v>
      </c>
      <c r="D22" s="9" t="s">
        <v>158</v>
      </c>
    </row>
    <row r="23" spans="1:4" ht="48" x14ac:dyDescent="0.2">
      <c r="A23" s="9" t="s">
        <v>159</v>
      </c>
      <c r="B23" s="9" t="s">
        <v>160</v>
      </c>
      <c r="C23" s="9" t="s">
        <v>161</v>
      </c>
      <c r="D23" s="9" t="s">
        <v>162</v>
      </c>
    </row>
    <row r="24" spans="1:4" ht="48" x14ac:dyDescent="0.2">
      <c r="A24" s="9" t="s">
        <v>163</v>
      </c>
      <c r="B24" s="9" t="s">
        <v>164</v>
      </c>
      <c r="C24" s="9" t="s">
        <v>165</v>
      </c>
      <c r="D24" s="9" t="s">
        <v>166</v>
      </c>
    </row>
    <row r="28" spans="1:4" x14ac:dyDescent="0.2">
      <c r="A28" t="s">
        <v>167</v>
      </c>
    </row>
    <row r="29" spans="1:4" x14ac:dyDescent="0.2">
      <c r="A29" t="s">
        <v>168</v>
      </c>
      <c r="B29" t="s">
        <v>169</v>
      </c>
    </row>
    <row r="30" spans="1:4" x14ac:dyDescent="0.2">
      <c r="A30" t="s">
        <v>26</v>
      </c>
      <c r="B30">
        <v>2</v>
      </c>
    </row>
    <row r="31" spans="1:4" x14ac:dyDescent="0.2">
      <c r="A31" t="s">
        <v>170</v>
      </c>
      <c r="B31">
        <v>4</v>
      </c>
    </row>
    <row r="32" spans="1:4" x14ac:dyDescent="0.2">
      <c r="A32" t="s">
        <v>171</v>
      </c>
      <c r="B32">
        <v>6</v>
      </c>
    </row>
    <row r="33" spans="1:2" x14ac:dyDescent="0.2">
      <c r="A33" t="s">
        <v>172</v>
      </c>
      <c r="B33">
        <v>8</v>
      </c>
    </row>
    <row r="34" spans="1:2" x14ac:dyDescent="0.2">
      <c r="A34" t="s">
        <v>27</v>
      </c>
      <c r="B34">
        <v>9</v>
      </c>
    </row>
    <row r="52" spans="1:6" x14ac:dyDescent="0.2">
      <c r="A52" s="13" t="s">
        <v>108</v>
      </c>
    </row>
    <row r="53" spans="1:6" x14ac:dyDescent="0.2">
      <c r="A53" s="2" t="s">
        <v>173</v>
      </c>
      <c r="B53" s="2"/>
      <c r="C53" s="2"/>
      <c r="D53" s="2"/>
      <c r="E53" s="2"/>
      <c r="F53" s="2"/>
    </row>
  </sheetData>
  <mergeCells count="2">
    <mergeCell ref="A1:F1"/>
    <mergeCell ref="A53:F5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7" width="18" customWidth="1"/>
  </cols>
  <sheetData>
    <row r="1" spans="1:7" ht="18" x14ac:dyDescent="0.2">
      <c r="A1" s="4" t="s">
        <v>174</v>
      </c>
      <c r="B1" s="4"/>
      <c r="C1" s="4"/>
      <c r="D1" s="4"/>
      <c r="E1" s="4"/>
      <c r="F1" s="4"/>
      <c r="G1" s="4"/>
    </row>
    <row r="3" spans="1:7" ht="16" x14ac:dyDescent="0.2">
      <c r="A3" s="6" t="s">
        <v>175</v>
      </c>
    </row>
    <row r="4" spans="1:7" x14ac:dyDescent="0.2">
      <c r="A4" s="15" t="s">
        <v>176</v>
      </c>
      <c r="B4" s="1" t="s">
        <v>177</v>
      </c>
      <c r="C4" s="1"/>
      <c r="D4" s="1"/>
    </row>
    <row r="5" spans="1:7" x14ac:dyDescent="0.2">
      <c r="A5" s="15" t="s">
        <v>178</v>
      </c>
      <c r="B5" s="1" t="s">
        <v>179</v>
      </c>
      <c r="C5" s="1"/>
      <c r="D5" s="1"/>
    </row>
    <row r="6" spans="1:7" x14ac:dyDescent="0.2">
      <c r="A6" s="15" t="s">
        <v>180</v>
      </c>
      <c r="B6" s="1" t="s">
        <v>181</v>
      </c>
      <c r="C6" s="1"/>
      <c r="D6" s="1"/>
    </row>
    <row r="7" spans="1:7" x14ac:dyDescent="0.2">
      <c r="A7" s="15" t="s">
        <v>182</v>
      </c>
      <c r="B7" s="1" t="s">
        <v>183</v>
      </c>
      <c r="C7" s="1"/>
      <c r="D7" s="1"/>
    </row>
    <row r="8" spans="1:7" x14ac:dyDescent="0.2">
      <c r="A8" s="15" t="s">
        <v>184</v>
      </c>
      <c r="B8" s="1" t="s">
        <v>185</v>
      </c>
      <c r="C8" s="1"/>
      <c r="D8" s="1"/>
    </row>
    <row r="9" spans="1:7" x14ac:dyDescent="0.2">
      <c r="A9" s="15" t="s">
        <v>186</v>
      </c>
      <c r="B9" s="1" t="s">
        <v>187</v>
      </c>
      <c r="C9" s="1"/>
      <c r="D9" s="1"/>
    </row>
    <row r="10" spans="1:7" x14ac:dyDescent="0.2">
      <c r="A10" s="15" t="s">
        <v>188</v>
      </c>
      <c r="B10" s="1" t="s">
        <v>189</v>
      </c>
      <c r="C10" s="1"/>
      <c r="D10" s="1"/>
    </row>
    <row r="13" spans="1:7" ht="16" x14ac:dyDescent="0.2">
      <c r="A13" s="6" t="s">
        <v>190</v>
      </c>
    </row>
    <row r="14" spans="1:7" x14ac:dyDescent="0.2">
      <c r="A14" s="7" t="s">
        <v>191</v>
      </c>
      <c r="B14" s="7" t="s">
        <v>192</v>
      </c>
      <c r="C14" s="7" t="s">
        <v>193</v>
      </c>
      <c r="D14" s="7" t="s">
        <v>194</v>
      </c>
      <c r="E14" s="7" t="s">
        <v>195</v>
      </c>
      <c r="F14" s="7" t="s">
        <v>196</v>
      </c>
    </row>
    <row r="15" spans="1:7" ht="16" x14ac:dyDescent="0.2">
      <c r="A15" s="9" t="s">
        <v>197</v>
      </c>
      <c r="B15" s="10">
        <v>80.7</v>
      </c>
      <c r="C15" s="10">
        <v>250.3</v>
      </c>
      <c r="D15" s="10">
        <v>509.4</v>
      </c>
      <c r="E15" s="10">
        <v>845.3</v>
      </c>
      <c r="F15" s="10">
        <v>1239.5999999999999</v>
      </c>
    </row>
    <row r="16" spans="1:7" ht="16" x14ac:dyDescent="0.2">
      <c r="A16" s="9" t="s">
        <v>198</v>
      </c>
      <c r="B16" s="17">
        <v>-86.3</v>
      </c>
      <c r="C16" s="18">
        <v>49</v>
      </c>
      <c r="D16" s="18">
        <v>251.7</v>
      </c>
      <c r="E16" s="18">
        <v>509.2</v>
      </c>
      <c r="F16" s="18">
        <v>818.6</v>
      </c>
    </row>
    <row r="17" spans="1:6" ht="16" x14ac:dyDescent="0.2">
      <c r="A17" s="9" t="s">
        <v>199</v>
      </c>
      <c r="B17" s="17">
        <v>-206.3</v>
      </c>
      <c r="C17" s="17">
        <v>-157.30000000000001</v>
      </c>
      <c r="D17" s="18">
        <v>94.4</v>
      </c>
      <c r="E17" s="18">
        <v>603.6</v>
      </c>
      <c r="F17" s="18">
        <v>1422.2</v>
      </c>
    </row>
    <row r="18" spans="1:6" ht="16" x14ac:dyDescent="0.2">
      <c r="A18" s="9" t="s">
        <v>200</v>
      </c>
      <c r="B18" s="10">
        <v>128</v>
      </c>
      <c r="C18" s="10">
        <v>368</v>
      </c>
      <c r="D18" s="10">
        <v>712</v>
      </c>
      <c r="E18" s="10">
        <v>1133</v>
      </c>
      <c r="F18" s="10">
        <v>1598</v>
      </c>
    </row>
    <row r="19" spans="1:6" ht="16" x14ac:dyDescent="0.2">
      <c r="A19" s="9" t="s">
        <v>201</v>
      </c>
      <c r="B19" s="10">
        <v>1250</v>
      </c>
      <c r="C19" s="10">
        <v>3984</v>
      </c>
      <c r="D19" s="10">
        <v>8233</v>
      </c>
      <c r="E19" s="10">
        <v>13848</v>
      </c>
      <c r="F19" s="10">
        <v>20544</v>
      </c>
    </row>
  </sheetData>
  <mergeCells count="8">
    <mergeCell ref="B8:D8"/>
    <mergeCell ref="B9:D9"/>
    <mergeCell ref="B10:D10"/>
    <mergeCell ref="A1:G1"/>
    <mergeCell ref="B4:D4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topLeftCell="A15" zoomScaleNormal="100" workbookViewId="0"/>
  </sheetViews>
  <sheetFormatPr baseColWidth="10" defaultColWidth="8.6640625" defaultRowHeight="15" x14ac:dyDescent="0.2"/>
  <cols>
    <col min="1" max="5" width="20" customWidth="1"/>
  </cols>
  <sheetData>
    <row r="1" spans="1:5" ht="18" x14ac:dyDescent="0.2">
      <c r="A1" s="5" t="s">
        <v>202</v>
      </c>
    </row>
    <row r="3" spans="1:5" ht="16" x14ac:dyDescent="0.2">
      <c r="A3" s="6" t="s">
        <v>203</v>
      </c>
    </row>
    <row r="4" spans="1:5" x14ac:dyDescent="0.2">
      <c r="A4" s="7" t="s">
        <v>191</v>
      </c>
      <c r="B4" s="7" t="s">
        <v>204</v>
      </c>
      <c r="C4" s="7" t="s">
        <v>205</v>
      </c>
    </row>
    <row r="5" spans="1:5" ht="16" x14ac:dyDescent="0.2">
      <c r="A5" s="10" t="s">
        <v>206</v>
      </c>
      <c r="B5" s="10" t="s">
        <v>207</v>
      </c>
      <c r="C5" s="10" t="s">
        <v>208</v>
      </c>
    </row>
    <row r="6" spans="1:5" ht="32" x14ac:dyDescent="0.2">
      <c r="A6" s="10" t="s">
        <v>209</v>
      </c>
      <c r="B6" s="10" t="s">
        <v>210</v>
      </c>
      <c r="C6" s="10" t="s">
        <v>211</v>
      </c>
    </row>
    <row r="7" spans="1:5" ht="16" x14ac:dyDescent="0.2">
      <c r="A7" s="10" t="s">
        <v>212</v>
      </c>
      <c r="B7" s="10" t="s">
        <v>213</v>
      </c>
      <c r="C7" s="10" t="s">
        <v>214</v>
      </c>
    </row>
    <row r="8" spans="1:5" ht="32" x14ac:dyDescent="0.2">
      <c r="A8" s="10" t="s">
        <v>215</v>
      </c>
      <c r="B8" s="10" t="s">
        <v>216</v>
      </c>
      <c r="C8" s="10" t="s">
        <v>217</v>
      </c>
    </row>
    <row r="11" spans="1:5" ht="16" x14ac:dyDescent="0.2">
      <c r="A11" s="6" t="s">
        <v>218</v>
      </c>
    </row>
    <row r="12" spans="1:5" x14ac:dyDescent="0.2">
      <c r="A12" s="7" t="s">
        <v>219</v>
      </c>
      <c r="B12" s="7" t="s">
        <v>220</v>
      </c>
      <c r="C12" s="7" t="s">
        <v>221</v>
      </c>
      <c r="D12" s="7" t="s">
        <v>204</v>
      </c>
      <c r="E12" s="7" t="s">
        <v>222</v>
      </c>
    </row>
    <row r="13" spans="1:5" ht="16" x14ac:dyDescent="0.2">
      <c r="A13" s="10" t="s">
        <v>223</v>
      </c>
      <c r="B13" s="10" t="s">
        <v>224</v>
      </c>
      <c r="C13" s="10" t="s">
        <v>225</v>
      </c>
      <c r="D13" s="10" t="s">
        <v>210</v>
      </c>
      <c r="E13" s="10" t="s">
        <v>64</v>
      </c>
    </row>
    <row r="14" spans="1:5" ht="16" x14ac:dyDescent="0.2">
      <c r="A14" s="10" t="s">
        <v>226</v>
      </c>
      <c r="B14" s="10" t="s">
        <v>216</v>
      </c>
      <c r="C14" s="10" t="s">
        <v>227</v>
      </c>
      <c r="D14" s="10" t="s">
        <v>228</v>
      </c>
      <c r="E14" s="10" t="s">
        <v>229</v>
      </c>
    </row>
    <row r="15" spans="1:5" x14ac:dyDescent="0.2">
      <c r="A15" s="11" t="s">
        <v>230</v>
      </c>
      <c r="B15" s="11" t="s">
        <v>231</v>
      </c>
      <c r="C15" s="11" t="s">
        <v>232</v>
      </c>
      <c r="D15" s="11" t="s">
        <v>233</v>
      </c>
      <c r="E15" s="11" t="s">
        <v>234</v>
      </c>
    </row>
    <row r="18" spans="1:2" x14ac:dyDescent="0.2">
      <c r="A18" t="s">
        <v>235</v>
      </c>
    </row>
    <row r="19" spans="1:2" x14ac:dyDescent="0.2">
      <c r="A19" t="s">
        <v>219</v>
      </c>
      <c r="B19" t="s">
        <v>204</v>
      </c>
    </row>
    <row r="20" spans="1:2" x14ac:dyDescent="0.2">
      <c r="A20" t="s">
        <v>236</v>
      </c>
      <c r="B20">
        <v>1008</v>
      </c>
    </row>
    <row r="21" spans="1:2" x14ac:dyDescent="0.2">
      <c r="A21" t="s">
        <v>237</v>
      </c>
      <c r="B21">
        <v>350</v>
      </c>
    </row>
    <row r="22" spans="1:2" x14ac:dyDescent="0.2">
      <c r="A22" t="s">
        <v>238</v>
      </c>
      <c r="B22">
        <v>12</v>
      </c>
    </row>
    <row r="40" spans="1:5" x14ac:dyDescent="0.2">
      <c r="A40" s="13" t="s">
        <v>108</v>
      </c>
    </row>
    <row r="41" spans="1:5" x14ac:dyDescent="0.2">
      <c r="A41" s="2" t="s">
        <v>239</v>
      </c>
      <c r="B41" s="2"/>
      <c r="C41" s="2"/>
      <c r="D41" s="2"/>
      <c r="E41" s="2"/>
    </row>
  </sheetData>
  <mergeCells count="1">
    <mergeCell ref="A41:E4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3"/>
  <sheetViews>
    <sheetView topLeftCell="A16" zoomScaleNormal="100" workbookViewId="0"/>
  </sheetViews>
  <sheetFormatPr baseColWidth="10" defaultColWidth="8.6640625" defaultRowHeight="15" x14ac:dyDescent="0.2"/>
  <cols>
    <col min="1" max="5" width="20" customWidth="1"/>
  </cols>
  <sheetData>
    <row r="1" spans="1:5" ht="18" x14ac:dyDescent="0.2">
      <c r="A1" s="5" t="s">
        <v>240</v>
      </c>
    </row>
    <row r="3" spans="1:5" ht="16" x14ac:dyDescent="0.2">
      <c r="A3" s="6" t="s">
        <v>241</v>
      </c>
    </row>
    <row r="4" spans="1:5" x14ac:dyDescent="0.2">
      <c r="A4" s="7" t="s">
        <v>242</v>
      </c>
      <c r="B4" s="7" t="s">
        <v>221</v>
      </c>
      <c r="C4" s="7" t="s">
        <v>243</v>
      </c>
      <c r="D4" s="7" t="s">
        <v>244</v>
      </c>
      <c r="E4" s="7" t="s">
        <v>25</v>
      </c>
    </row>
    <row r="5" spans="1:5" ht="16" x14ac:dyDescent="0.2">
      <c r="A5" s="10" t="s">
        <v>31</v>
      </c>
      <c r="B5" s="10" t="s">
        <v>245</v>
      </c>
      <c r="C5" s="19" t="s">
        <v>246</v>
      </c>
      <c r="D5" s="10" t="s">
        <v>247</v>
      </c>
      <c r="E5" s="10" t="s">
        <v>248</v>
      </c>
    </row>
    <row r="6" spans="1:5" ht="16" x14ac:dyDescent="0.2">
      <c r="A6" s="10" t="s">
        <v>35</v>
      </c>
      <c r="B6" s="10" t="s">
        <v>249</v>
      </c>
      <c r="C6" s="19" t="s">
        <v>250</v>
      </c>
      <c r="D6" s="10" t="s">
        <v>251</v>
      </c>
      <c r="E6" s="10" t="s">
        <v>252</v>
      </c>
    </row>
    <row r="7" spans="1:5" ht="16" x14ac:dyDescent="0.2">
      <c r="A7" s="10" t="s">
        <v>50</v>
      </c>
      <c r="B7" s="10" t="s">
        <v>253</v>
      </c>
      <c r="C7" s="19" t="s">
        <v>254</v>
      </c>
      <c r="D7" s="10" t="s">
        <v>255</v>
      </c>
      <c r="E7" s="10" t="s">
        <v>256</v>
      </c>
    </row>
    <row r="8" spans="1:5" ht="16" x14ac:dyDescent="0.2">
      <c r="A8" s="10" t="s">
        <v>257</v>
      </c>
      <c r="B8" s="10" t="s">
        <v>258</v>
      </c>
      <c r="C8" s="19" t="s">
        <v>259</v>
      </c>
      <c r="D8" s="10" t="s">
        <v>260</v>
      </c>
      <c r="E8" s="10" t="s">
        <v>261</v>
      </c>
    </row>
    <row r="11" spans="1:5" ht="16" x14ac:dyDescent="0.2">
      <c r="A11" s="6" t="s">
        <v>262</v>
      </c>
    </row>
    <row r="12" spans="1:5" x14ac:dyDescent="0.2">
      <c r="A12" s="7" t="s">
        <v>147</v>
      </c>
      <c r="B12" s="7" t="s">
        <v>263</v>
      </c>
      <c r="C12" s="7" t="s">
        <v>264</v>
      </c>
      <c r="D12" s="7" t="s">
        <v>265</v>
      </c>
    </row>
    <row r="13" spans="1:5" ht="16" x14ac:dyDescent="0.2">
      <c r="A13" s="10" t="s">
        <v>151</v>
      </c>
      <c r="B13" s="10" t="s">
        <v>266</v>
      </c>
      <c r="C13" s="10" t="s">
        <v>267</v>
      </c>
      <c r="D13" s="14" t="s">
        <v>268</v>
      </c>
    </row>
    <row r="14" spans="1:5" ht="16" x14ac:dyDescent="0.2">
      <c r="A14" s="10" t="s">
        <v>155</v>
      </c>
      <c r="B14" s="10" t="s">
        <v>269</v>
      </c>
      <c r="C14" s="10" t="s">
        <v>267</v>
      </c>
      <c r="D14" s="14" t="s">
        <v>270</v>
      </c>
    </row>
    <row r="15" spans="1:5" ht="16" x14ac:dyDescent="0.2">
      <c r="A15" s="10" t="s">
        <v>271</v>
      </c>
      <c r="B15" s="10" t="s">
        <v>272</v>
      </c>
      <c r="C15" s="10" t="s">
        <v>267</v>
      </c>
      <c r="D15" s="14" t="s">
        <v>273</v>
      </c>
    </row>
    <row r="16" spans="1:5" ht="16" x14ac:dyDescent="0.2">
      <c r="A16" s="10" t="s">
        <v>274</v>
      </c>
      <c r="B16" s="10" t="s">
        <v>275</v>
      </c>
      <c r="C16" s="10" t="s">
        <v>267</v>
      </c>
      <c r="D16" s="14" t="s">
        <v>276</v>
      </c>
    </row>
    <row r="19" spans="1:2" x14ac:dyDescent="0.2">
      <c r="A19" t="s">
        <v>277</v>
      </c>
    </row>
    <row r="20" spans="1:2" x14ac:dyDescent="0.2">
      <c r="A20" t="s">
        <v>278</v>
      </c>
      <c r="B20" t="s">
        <v>279</v>
      </c>
    </row>
    <row r="21" spans="1:2" x14ac:dyDescent="0.2">
      <c r="A21" t="s">
        <v>151</v>
      </c>
      <c r="B21">
        <v>2250</v>
      </c>
    </row>
    <row r="22" spans="1:2" x14ac:dyDescent="0.2">
      <c r="A22" t="s">
        <v>155</v>
      </c>
      <c r="B22">
        <v>3000</v>
      </c>
    </row>
    <row r="23" spans="1:2" x14ac:dyDescent="0.2">
      <c r="A23" t="s">
        <v>271</v>
      </c>
      <c r="B23">
        <v>1850</v>
      </c>
    </row>
    <row r="24" spans="1:2" x14ac:dyDescent="0.2">
      <c r="A24" t="s">
        <v>264</v>
      </c>
      <c r="B24">
        <v>550</v>
      </c>
    </row>
    <row r="42" spans="1:5" x14ac:dyDescent="0.2">
      <c r="A42" s="13" t="s">
        <v>108</v>
      </c>
    </row>
    <row r="43" spans="1:5" x14ac:dyDescent="0.2">
      <c r="A43" s="2" t="s">
        <v>280</v>
      </c>
      <c r="B43" s="2"/>
      <c r="C43" s="2"/>
      <c r="D43" s="2"/>
      <c r="E43" s="2"/>
    </row>
  </sheetData>
  <mergeCells count="1">
    <mergeCell ref="A43:E4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9"/>
  <sheetViews>
    <sheetView zoomScaleNormal="100" workbookViewId="0"/>
  </sheetViews>
  <sheetFormatPr baseColWidth="10" defaultColWidth="8.6640625" defaultRowHeight="15" x14ac:dyDescent="0.2"/>
  <cols>
    <col min="1" max="7" width="16" customWidth="1"/>
  </cols>
  <sheetData>
    <row r="1" spans="1:7" ht="18" x14ac:dyDescent="0.2">
      <c r="A1" s="5" t="s">
        <v>281</v>
      </c>
    </row>
    <row r="3" spans="1:7" ht="16" x14ac:dyDescent="0.2">
      <c r="A3" s="6" t="s">
        <v>282</v>
      </c>
    </row>
    <row r="4" spans="1:7" x14ac:dyDescent="0.2">
      <c r="A4" s="7" t="s">
        <v>242</v>
      </c>
      <c r="B4" s="7" t="s">
        <v>26</v>
      </c>
      <c r="C4" s="7" t="s">
        <v>170</v>
      </c>
      <c r="D4" s="7" t="s">
        <v>171</v>
      </c>
      <c r="E4" s="7" t="s">
        <v>172</v>
      </c>
      <c r="F4" s="7" t="s">
        <v>27</v>
      </c>
      <c r="G4" s="7" t="s">
        <v>283</v>
      </c>
    </row>
    <row r="5" spans="1:7" ht="16" x14ac:dyDescent="0.2">
      <c r="A5" s="10" t="s">
        <v>31</v>
      </c>
      <c r="B5" s="10">
        <v>21.6</v>
      </c>
      <c r="C5" s="10">
        <v>58.8</v>
      </c>
      <c r="D5" s="10">
        <v>109.2</v>
      </c>
      <c r="E5" s="10">
        <v>168.3</v>
      </c>
      <c r="F5" s="10">
        <v>229.2</v>
      </c>
      <c r="G5" s="10">
        <v>587.1</v>
      </c>
    </row>
    <row r="6" spans="1:7" ht="16" x14ac:dyDescent="0.2">
      <c r="A6" s="10" t="s">
        <v>35</v>
      </c>
      <c r="B6" s="10">
        <v>30.2</v>
      </c>
      <c r="C6" s="10">
        <v>90.6</v>
      </c>
      <c r="D6" s="10">
        <v>180.3</v>
      </c>
      <c r="E6" s="10">
        <v>291.5</v>
      </c>
      <c r="F6" s="10">
        <v>420.1</v>
      </c>
      <c r="G6" s="10">
        <v>1012.7</v>
      </c>
    </row>
    <row r="7" spans="1:7" ht="16" x14ac:dyDescent="0.2">
      <c r="A7" s="10" t="s">
        <v>50</v>
      </c>
      <c r="B7" s="10">
        <v>18.899999999999999</v>
      </c>
      <c r="C7" s="10">
        <v>64.099999999999994</v>
      </c>
      <c r="D7" s="10">
        <v>139.5</v>
      </c>
      <c r="E7" s="10">
        <v>241.4</v>
      </c>
      <c r="F7" s="10">
        <v>365.8</v>
      </c>
      <c r="G7" s="10">
        <v>829.7</v>
      </c>
    </row>
    <row r="8" spans="1:7" ht="16" x14ac:dyDescent="0.2">
      <c r="A8" s="10" t="s">
        <v>257</v>
      </c>
      <c r="B8" s="10">
        <v>10.1</v>
      </c>
      <c r="C8" s="10">
        <v>36.9</v>
      </c>
      <c r="D8" s="10">
        <v>80.400000000000006</v>
      </c>
      <c r="E8" s="10">
        <v>144.1</v>
      </c>
      <c r="F8" s="10">
        <v>224.5</v>
      </c>
      <c r="G8" s="10">
        <v>496</v>
      </c>
    </row>
    <row r="9" spans="1:7" x14ac:dyDescent="0.2">
      <c r="A9" s="11" t="s">
        <v>53</v>
      </c>
      <c r="B9" s="11">
        <v>80.7</v>
      </c>
      <c r="C9" s="11">
        <v>250.3</v>
      </c>
      <c r="D9" s="11">
        <v>509.4</v>
      </c>
      <c r="E9" s="11">
        <v>845.3</v>
      </c>
      <c r="F9" s="11">
        <v>1239.5999999999999</v>
      </c>
      <c r="G9" s="11">
        <v>2925.3</v>
      </c>
    </row>
    <row r="12" spans="1:7" ht="16" x14ac:dyDescent="0.2">
      <c r="A12" s="6" t="s">
        <v>284</v>
      </c>
    </row>
    <row r="13" spans="1:7" x14ac:dyDescent="0.2">
      <c r="A13" s="7" t="s">
        <v>285</v>
      </c>
      <c r="B13" s="7" t="s">
        <v>26</v>
      </c>
      <c r="C13" s="7" t="s">
        <v>170</v>
      </c>
      <c r="D13" s="7" t="s">
        <v>171</v>
      </c>
      <c r="E13" s="7" t="s">
        <v>172</v>
      </c>
      <c r="F13" s="7" t="s">
        <v>27</v>
      </c>
    </row>
    <row r="14" spans="1:7" ht="16" x14ac:dyDescent="0.2">
      <c r="A14" s="9" t="s">
        <v>286</v>
      </c>
      <c r="B14" s="10">
        <v>80.7</v>
      </c>
      <c r="C14" s="10">
        <v>250.3</v>
      </c>
      <c r="D14" s="10">
        <v>509.4</v>
      </c>
      <c r="E14" s="10">
        <v>845.3</v>
      </c>
      <c r="F14" s="10">
        <v>1239.5999999999999</v>
      </c>
    </row>
    <row r="15" spans="1:7" ht="16" x14ac:dyDescent="0.2">
      <c r="A15" s="9" t="s">
        <v>287</v>
      </c>
      <c r="B15" s="17">
        <v>-2</v>
      </c>
      <c r="C15" s="17">
        <v>-6.3</v>
      </c>
      <c r="D15" s="17">
        <v>-12.7</v>
      </c>
      <c r="E15" s="17">
        <v>-21.1</v>
      </c>
      <c r="F15" s="17">
        <v>-31</v>
      </c>
    </row>
    <row r="16" spans="1:7" ht="16" x14ac:dyDescent="0.2">
      <c r="A16" s="9" t="s">
        <v>288</v>
      </c>
      <c r="B16" s="10">
        <v>78.7</v>
      </c>
      <c r="C16" s="10">
        <v>244</v>
      </c>
      <c r="D16" s="10">
        <v>496.7</v>
      </c>
      <c r="E16" s="10">
        <v>824.2</v>
      </c>
      <c r="F16" s="10">
        <v>1208.5999999999999</v>
      </c>
    </row>
    <row r="17" spans="1:6" ht="16" x14ac:dyDescent="0.2">
      <c r="A17" s="9" t="s">
        <v>289</v>
      </c>
      <c r="B17" s="17">
        <v>-150</v>
      </c>
      <c r="C17" s="17">
        <v>-165</v>
      </c>
      <c r="D17" s="17">
        <v>-195</v>
      </c>
      <c r="E17" s="17">
        <v>-240</v>
      </c>
      <c r="F17" s="17">
        <v>-295</v>
      </c>
    </row>
    <row r="18" spans="1:6" ht="16" x14ac:dyDescent="0.2">
      <c r="A18" s="9" t="s">
        <v>290</v>
      </c>
      <c r="B18" s="17">
        <v>-15</v>
      </c>
      <c r="C18" s="17">
        <v>-30</v>
      </c>
      <c r="D18" s="17">
        <v>-50</v>
      </c>
      <c r="E18" s="17">
        <v>-75</v>
      </c>
      <c r="F18" s="17">
        <v>-95</v>
      </c>
    </row>
    <row r="19" spans="1:6" x14ac:dyDescent="0.2">
      <c r="A19" s="8" t="s">
        <v>291</v>
      </c>
      <c r="B19" s="20">
        <v>-86.3</v>
      </c>
      <c r="C19" s="20">
        <v>49</v>
      </c>
      <c r="D19" s="20">
        <v>251.7</v>
      </c>
      <c r="E19" s="20">
        <v>509.2</v>
      </c>
      <c r="F19" s="20">
        <v>818.6</v>
      </c>
    </row>
    <row r="20" spans="1:6" x14ac:dyDescent="0.2">
      <c r="A20" s="12" t="s">
        <v>292</v>
      </c>
      <c r="B20" s="11">
        <v>-206.3</v>
      </c>
      <c r="C20" s="11">
        <v>-157.30000000000001</v>
      </c>
      <c r="D20" s="11">
        <v>94.4</v>
      </c>
      <c r="E20" s="11">
        <v>603.6</v>
      </c>
      <c r="F20" s="11">
        <v>1422.2</v>
      </c>
    </row>
    <row r="38" spans="1:7" x14ac:dyDescent="0.2">
      <c r="A38" s="13" t="s">
        <v>108</v>
      </c>
    </row>
    <row r="39" spans="1:7" x14ac:dyDescent="0.2">
      <c r="A39" s="2" t="s">
        <v>293</v>
      </c>
      <c r="B39" s="2"/>
      <c r="C39" s="2"/>
      <c r="D39" s="2"/>
      <c r="E39" s="2"/>
      <c r="F39" s="2"/>
      <c r="G39" s="2"/>
    </row>
  </sheetData>
  <mergeCells count="1">
    <mergeCell ref="A39:G3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9"/>
  <sheetViews>
    <sheetView zoomScaleNormal="100" workbookViewId="0"/>
  </sheetViews>
  <sheetFormatPr baseColWidth="10" defaultColWidth="8.6640625" defaultRowHeight="15" x14ac:dyDescent="0.2"/>
  <cols>
    <col min="1" max="5" width="20" customWidth="1"/>
  </cols>
  <sheetData>
    <row r="1" spans="1:4" ht="18" x14ac:dyDescent="0.2">
      <c r="A1" s="5" t="s">
        <v>294</v>
      </c>
    </row>
    <row r="3" spans="1:4" ht="16" x14ac:dyDescent="0.2">
      <c r="A3" s="6" t="s">
        <v>295</v>
      </c>
    </row>
    <row r="4" spans="1:4" x14ac:dyDescent="0.2">
      <c r="A4" s="7" t="s">
        <v>191</v>
      </c>
      <c r="B4" s="7" t="s">
        <v>264</v>
      </c>
      <c r="C4" s="7" t="s">
        <v>296</v>
      </c>
      <c r="D4" s="7" t="s">
        <v>297</v>
      </c>
    </row>
    <row r="5" spans="1:4" ht="16" x14ac:dyDescent="0.2">
      <c r="A5" s="10" t="s">
        <v>298</v>
      </c>
      <c r="B5" s="10" t="s">
        <v>299</v>
      </c>
      <c r="C5" s="10" t="s">
        <v>300</v>
      </c>
      <c r="D5" s="10" t="s">
        <v>301</v>
      </c>
    </row>
    <row r="6" spans="1:4" ht="16" x14ac:dyDescent="0.2">
      <c r="A6" s="10" t="s">
        <v>28</v>
      </c>
      <c r="B6" s="10" t="s">
        <v>54</v>
      </c>
      <c r="C6" s="10" t="s">
        <v>302</v>
      </c>
      <c r="D6" s="14" t="s">
        <v>303</v>
      </c>
    </row>
    <row r="7" spans="1:4" ht="16" x14ac:dyDescent="0.2">
      <c r="A7" s="10" t="s">
        <v>304</v>
      </c>
      <c r="B7" s="10" t="s">
        <v>305</v>
      </c>
      <c r="C7" s="10" t="s">
        <v>306</v>
      </c>
      <c r="D7" s="14" t="s">
        <v>303</v>
      </c>
    </row>
    <row r="8" spans="1:4" ht="16" x14ac:dyDescent="0.2">
      <c r="A8" s="10" t="s">
        <v>307</v>
      </c>
      <c r="B8" s="10" t="s">
        <v>308</v>
      </c>
      <c r="C8" s="10" t="s">
        <v>309</v>
      </c>
      <c r="D8" s="14" t="s">
        <v>310</v>
      </c>
    </row>
    <row r="9" spans="1:4" ht="16" x14ac:dyDescent="0.2">
      <c r="A9" s="10" t="s">
        <v>311</v>
      </c>
      <c r="B9" s="10" t="s">
        <v>312</v>
      </c>
      <c r="C9" s="10" t="s">
        <v>313</v>
      </c>
      <c r="D9" s="14" t="s">
        <v>303</v>
      </c>
    </row>
    <row r="10" spans="1:4" ht="16" x14ac:dyDescent="0.2">
      <c r="A10" s="10" t="s">
        <v>314</v>
      </c>
      <c r="B10" s="10" t="s">
        <v>315</v>
      </c>
      <c r="C10" s="10" t="s">
        <v>316</v>
      </c>
      <c r="D10" s="10" t="s">
        <v>301</v>
      </c>
    </row>
    <row r="11" spans="1:4" ht="16" x14ac:dyDescent="0.2">
      <c r="A11" s="10" t="s">
        <v>317</v>
      </c>
      <c r="B11" s="10" t="s">
        <v>318</v>
      </c>
      <c r="C11" s="10" t="s">
        <v>319</v>
      </c>
      <c r="D11" s="10" t="s">
        <v>301</v>
      </c>
    </row>
    <row r="14" spans="1:4" x14ac:dyDescent="0.2">
      <c r="A14" t="s">
        <v>320</v>
      </c>
    </row>
    <row r="15" spans="1:4" x14ac:dyDescent="0.2">
      <c r="A15" t="s">
        <v>242</v>
      </c>
      <c r="B15" t="s">
        <v>321</v>
      </c>
    </row>
    <row r="16" spans="1:4" x14ac:dyDescent="0.2">
      <c r="A16" t="s">
        <v>31</v>
      </c>
      <c r="B16">
        <v>8.6</v>
      </c>
    </row>
    <row r="17" spans="1:2" x14ac:dyDescent="0.2">
      <c r="A17" t="s">
        <v>35</v>
      </c>
      <c r="B17">
        <v>14.6</v>
      </c>
    </row>
    <row r="18" spans="1:2" x14ac:dyDescent="0.2">
      <c r="A18" t="s">
        <v>50</v>
      </c>
      <c r="B18">
        <v>12</v>
      </c>
    </row>
    <row r="19" spans="1:2" x14ac:dyDescent="0.2">
      <c r="A19" t="s">
        <v>322</v>
      </c>
      <c r="B19">
        <v>10.7</v>
      </c>
    </row>
    <row r="20" spans="1:2" x14ac:dyDescent="0.2">
      <c r="A20" t="s">
        <v>296</v>
      </c>
      <c r="B20">
        <v>3</v>
      </c>
    </row>
    <row r="38" spans="1:5" x14ac:dyDescent="0.2">
      <c r="A38" s="13" t="s">
        <v>108</v>
      </c>
    </row>
    <row r="39" spans="1:5" x14ac:dyDescent="0.2">
      <c r="A39" s="2" t="s">
        <v>323</v>
      </c>
      <c r="B39" s="2"/>
      <c r="C39" s="2"/>
      <c r="D39" s="2"/>
      <c r="E39" s="2"/>
    </row>
  </sheetData>
  <mergeCells count="1">
    <mergeCell ref="A39:E3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5"/>
  <sheetViews>
    <sheetView zoomScaleNormal="100" workbookViewId="0">
      <selection activeCell="C1" sqref="C1"/>
    </sheetView>
  </sheetViews>
  <sheetFormatPr baseColWidth="10" defaultColWidth="8.6640625" defaultRowHeight="15" x14ac:dyDescent="0.2"/>
  <cols>
    <col min="1" max="7" width="18" customWidth="1"/>
  </cols>
  <sheetData>
    <row r="1" spans="1:7" ht="18" x14ac:dyDescent="0.2">
      <c r="A1" s="5" t="s">
        <v>324</v>
      </c>
    </row>
    <row r="3" spans="1:7" ht="16" x14ac:dyDescent="0.2">
      <c r="A3" s="6" t="s">
        <v>325</v>
      </c>
    </row>
    <row r="4" spans="1:7" x14ac:dyDescent="0.2">
      <c r="A4" s="7" t="s">
        <v>326</v>
      </c>
      <c r="B4" s="7" t="s">
        <v>327</v>
      </c>
      <c r="C4" s="7" t="s">
        <v>26</v>
      </c>
      <c r="D4" s="7" t="s">
        <v>170</v>
      </c>
      <c r="E4" s="7" t="s">
        <v>171</v>
      </c>
      <c r="F4" s="7" t="s">
        <v>172</v>
      </c>
      <c r="G4" s="7" t="s">
        <v>27</v>
      </c>
    </row>
    <row r="5" spans="1:7" ht="16" x14ac:dyDescent="0.2">
      <c r="A5" s="10" t="s">
        <v>328</v>
      </c>
      <c r="B5" s="17">
        <v>-120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</row>
    <row r="6" spans="1:7" ht="16" x14ac:dyDescent="0.2">
      <c r="A6" s="10" t="s">
        <v>288</v>
      </c>
      <c r="B6" s="10">
        <v>0</v>
      </c>
      <c r="C6" s="10">
        <v>78.7</v>
      </c>
      <c r="D6" s="10">
        <v>244</v>
      </c>
      <c r="E6" s="10">
        <v>496.7</v>
      </c>
      <c r="F6" s="10">
        <v>824.2</v>
      </c>
      <c r="G6" s="10">
        <v>1208.5999999999999</v>
      </c>
    </row>
    <row r="7" spans="1:7" ht="16" x14ac:dyDescent="0.2">
      <c r="A7" s="10" t="s">
        <v>329</v>
      </c>
      <c r="B7" s="10">
        <v>0</v>
      </c>
      <c r="C7" s="17">
        <v>-165</v>
      </c>
      <c r="D7" s="17">
        <v>-195</v>
      </c>
      <c r="E7" s="17">
        <v>-245</v>
      </c>
      <c r="F7" s="17">
        <v>-315</v>
      </c>
      <c r="G7" s="17">
        <v>-390</v>
      </c>
    </row>
    <row r="8" spans="1:7" ht="16" x14ac:dyDescent="0.2">
      <c r="A8" s="10" t="s">
        <v>330</v>
      </c>
      <c r="B8" s="17">
        <v>-120</v>
      </c>
      <c r="C8" s="17">
        <v>-86.3</v>
      </c>
      <c r="D8" s="10">
        <v>49</v>
      </c>
      <c r="E8" s="10">
        <v>251.7</v>
      </c>
      <c r="F8" s="10">
        <v>509.2</v>
      </c>
      <c r="G8" s="10">
        <v>818.6</v>
      </c>
    </row>
    <row r="9" spans="1:7" ht="16" x14ac:dyDescent="0.2">
      <c r="A9" s="10" t="s">
        <v>331</v>
      </c>
      <c r="B9" s="17">
        <v>-120</v>
      </c>
      <c r="C9" s="17">
        <v>-206.3</v>
      </c>
      <c r="D9" s="17">
        <v>-157.30000000000001</v>
      </c>
      <c r="E9" s="14">
        <v>94.4</v>
      </c>
      <c r="F9" s="14">
        <v>603.6</v>
      </c>
      <c r="G9" s="14">
        <v>1422.2</v>
      </c>
    </row>
    <row r="12" spans="1:7" ht="16" x14ac:dyDescent="0.2">
      <c r="A12" s="6" t="s">
        <v>332</v>
      </c>
    </row>
    <row r="13" spans="1:7" x14ac:dyDescent="0.2">
      <c r="A13" s="15" t="s">
        <v>184</v>
      </c>
      <c r="B13" s="16" t="s">
        <v>185</v>
      </c>
    </row>
    <row r="14" spans="1:7" x14ac:dyDescent="0.2">
      <c r="A14" s="15" t="s">
        <v>333</v>
      </c>
      <c r="B14" s="16" t="s">
        <v>187</v>
      </c>
    </row>
    <row r="15" spans="1:7" x14ac:dyDescent="0.2">
      <c r="A15" s="15" t="s">
        <v>334</v>
      </c>
      <c r="B15" s="21" t="s">
        <v>335</v>
      </c>
    </row>
    <row r="16" spans="1:7" x14ac:dyDescent="0.2">
      <c r="A16" s="15" t="s">
        <v>188</v>
      </c>
      <c r="B16" s="21" t="s">
        <v>189</v>
      </c>
    </row>
    <row r="19" spans="1:2" x14ac:dyDescent="0.2">
      <c r="A19" t="s">
        <v>336</v>
      </c>
    </row>
    <row r="20" spans="1:2" x14ac:dyDescent="0.2">
      <c r="A20" t="s">
        <v>168</v>
      </c>
      <c r="B20" t="s">
        <v>331</v>
      </c>
    </row>
    <row r="21" spans="1:2" x14ac:dyDescent="0.2">
      <c r="A21" t="s">
        <v>327</v>
      </c>
      <c r="B21">
        <v>-120</v>
      </c>
    </row>
    <row r="22" spans="1:2" x14ac:dyDescent="0.2">
      <c r="A22" t="s">
        <v>26</v>
      </c>
      <c r="B22">
        <v>-206.3</v>
      </c>
    </row>
    <row r="23" spans="1:2" x14ac:dyDescent="0.2">
      <c r="A23" t="s">
        <v>170</v>
      </c>
      <c r="B23">
        <v>-157.30000000000001</v>
      </c>
    </row>
    <row r="24" spans="1:2" x14ac:dyDescent="0.2">
      <c r="A24" t="s">
        <v>171</v>
      </c>
      <c r="B24">
        <v>94.4</v>
      </c>
    </row>
    <row r="25" spans="1:2" x14ac:dyDescent="0.2">
      <c r="A25" t="s">
        <v>172</v>
      </c>
      <c r="B25">
        <v>603.6</v>
      </c>
    </row>
    <row r="26" spans="1:2" x14ac:dyDescent="0.2">
      <c r="A26" t="s">
        <v>27</v>
      </c>
      <c r="B26">
        <v>1422.2</v>
      </c>
    </row>
    <row r="44" spans="1:7" x14ac:dyDescent="0.2">
      <c r="A44" s="13" t="s">
        <v>108</v>
      </c>
    </row>
    <row r="45" spans="1:7" x14ac:dyDescent="0.2">
      <c r="A45" s="2" t="s">
        <v>337</v>
      </c>
      <c r="B45" s="2"/>
      <c r="C45" s="2"/>
      <c r="D45" s="2"/>
      <c r="E45" s="2"/>
      <c r="F45" s="2"/>
      <c r="G45" s="2"/>
    </row>
  </sheetData>
  <mergeCells count="1">
    <mergeCell ref="A45:G4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3"/>
  <sheetViews>
    <sheetView tabSelected="1" zoomScaleNormal="100" workbookViewId="0"/>
  </sheetViews>
  <sheetFormatPr baseColWidth="10" defaultColWidth="8.6640625" defaultRowHeight="15" x14ac:dyDescent="0.2"/>
  <cols>
    <col min="1" max="6" width="20" customWidth="1"/>
  </cols>
  <sheetData>
    <row r="1" spans="1:6" ht="18" x14ac:dyDescent="0.2">
      <c r="A1" s="5" t="s">
        <v>338</v>
      </c>
    </row>
    <row r="3" spans="1:6" ht="16" x14ac:dyDescent="0.2">
      <c r="A3" s="6" t="s">
        <v>339</v>
      </c>
    </row>
    <row r="4" spans="1:6" x14ac:dyDescent="0.2">
      <c r="A4" s="7" t="s">
        <v>340</v>
      </c>
      <c r="B4" s="7" t="s">
        <v>341</v>
      </c>
      <c r="C4" s="7" t="s">
        <v>342</v>
      </c>
      <c r="D4" s="7" t="s">
        <v>343</v>
      </c>
    </row>
    <row r="5" spans="1:6" ht="32" x14ac:dyDescent="0.2">
      <c r="A5" s="10" t="s">
        <v>344</v>
      </c>
      <c r="B5" s="9" t="s">
        <v>345</v>
      </c>
      <c r="C5" s="9" t="s">
        <v>346</v>
      </c>
      <c r="D5" s="19">
        <v>50</v>
      </c>
    </row>
    <row r="6" spans="1:6" ht="32" x14ac:dyDescent="0.2">
      <c r="A6" s="10" t="s">
        <v>347</v>
      </c>
      <c r="B6" s="9" t="s">
        <v>348</v>
      </c>
      <c r="C6" s="9" t="s">
        <v>349</v>
      </c>
      <c r="D6" s="19">
        <v>35</v>
      </c>
    </row>
    <row r="7" spans="1:6" ht="32" x14ac:dyDescent="0.2">
      <c r="A7" s="10" t="s">
        <v>350</v>
      </c>
      <c r="B7" s="9" t="s">
        <v>351</v>
      </c>
      <c r="C7" s="9" t="s">
        <v>352</v>
      </c>
      <c r="D7" s="19">
        <v>20</v>
      </c>
    </row>
    <row r="8" spans="1:6" ht="16" x14ac:dyDescent="0.2">
      <c r="A8" s="10" t="s">
        <v>353</v>
      </c>
      <c r="B8" s="9"/>
      <c r="C8" s="9" t="s">
        <v>354</v>
      </c>
      <c r="D8" s="19">
        <v>15</v>
      </c>
    </row>
    <row r="9" spans="1:6" x14ac:dyDescent="0.2">
      <c r="A9" s="20" t="s">
        <v>53</v>
      </c>
      <c r="B9" s="8" t="s">
        <v>355</v>
      </c>
      <c r="C9" s="8"/>
      <c r="D9" s="20">
        <v>120</v>
      </c>
    </row>
    <row r="12" spans="1:6" ht="16" x14ac:dyDescent="0.2">
      <c r="A12" s="6" t="s">
        <v>356</v>
      </c>
    </row>
    <row r="13" spans="1:6" x14ac:dyDescent="0.2">
      <c r="A13" s="7" t="s">
        <v>357</v>
      </c>
      <c r="B13" s="7" t="s">
        <v>26</v>
      </c>
      <c r="C13" s="7" t="s">
        <v>170</v>
      </c>
      <c r="D13" s="7" t="s">
        <v>171</v>
      </c>
      <c r="E13" s="7" t="s">
        <v>172</v>
      </c>
      <c r="F13" s="7" t="s">
        <v>27</v>
      </c>
    </row>
    <row r="14" spans="1:6" ht="16" x14ac:dyDescent="0.2">
      <c r="A14" s="9" t="s">
        <v>358</v>
      </c>
      <c r="B14" s="10">
        <v>12</v>
      </c>
      <c r="C14" s="10">
        <v>18</v>
      </c>
      <c r="D14" s="10">
        <v>28</v>
      </c>
      <c r="E14" s="10">
        <v>40</v>
      </c>
      <c r="F14" s="10">
        <v>55</v>
      </c>
    </row>
    <row r="15" spans="1:6" ht="16" x14ac:dyDescent="0.2">
      <c r="A15" s="9" t="s">
        <v>359</v>
      </c>
      <c r="B15" s="10">
        <v>6</v>
      </c>
      <c r="C15" s="10">
        <v>9</v>
      </c>
      <c r="D15" s="10">
        <v>14</v>
      </c>
      <c r="E15" s="10">
        <v>20</v>
      </c>
      <c r="F15" s="10">
        <v>28</v>
      </c>
    </row>
    <row r="16" spans="1:6" ht="16" x14ac:dyDescent="0.2">
      <c r="A16" s="9" t="s">
        <v>360</v>
      </c>
      <c r="B16" s="10">
        <v>45</v>
      </c>
      <c r="C16" s="10">
        <v>50</v>
      </c>
      <c r="D16" s="10">
        <v>58</v>
      </c>
      <c r="E16" s="10">
        <v>70</v>
      </c>
      <c r="F16" s="10">
        <v>85</v>
      </c>
    </row>
    <row r="17" spans="1:6" ht="16" x14ac:dyDescent="0.2">
      <c r="A17" s="9" t="s">
        <v>361</v>
      </c>
      <c r="B17" s="10">
        <v>22</v>
      </c>
      <c r="C17" s="10">
        <v>30</v>
      </c>
      <c r="D17" s="10">
        <v>42</v>
      </c>
      <c r="E17" s="10">
        <v>55</v>
      </c>
      <c r="F17" s="10">
        <v>70</v>
      </c>
    </row>
    <row r="18" spans="1:6" ht="16" x14ac:dyDescent="0.2">
      <c r="A18" s="9" t="s">
        <v>362</v>
      </c>
      <c r="B18" s="10">
        <v>10</v>
      </c>
      <c r="C18" s="10">
        <v>13</v>
      </c>
      <c r="D18" s="10">
        <v>16</v>
      </c>
      <c r="E18" s="10">
        <v>20</v>
      </c>
      <c r="F18" s="10">
        <v>25</v>
      </c>
    </row>
    <row r="19" spans="1:6" ht="16" x14ac:dyDescent="0.2">
      <c r="A19" s="9" t="s">
        <v>363</v>
      </c>
      <c r="B19" s="10">
        <v>55</v>
      </c>
      <c r="C19" s="10">
        <v>45</v>
      </c>
      <c r="D19" s="10">
        <v>37</v>
      </c>
      <c r="E19" s="10">
        <v>35</v>
      </c>
      <c r="F19" s="10">
        <v>32</v>
      </c>
    </row>
    <row r="20" spans="1:6" x14ac:dyDescent="0.2">
      <c r="A20" s="8" t="s">
        <v>364</v>
      </c>
      <c r="B20" s="20">
        <v>150</v>
      </c>
      <c r="C20" s="20">
        <v>165</v>
      </c>
      <c r="D20" s="20">
        <v>195</v>
      </c>
      <c r="E20" s="20">
        <v>240</v>
      </c>
      <c r="F20" s="20">
        <v>295</v>
      </c>
    </row>
    <row r="21" spans="1:6" ht="16" x14ac:dyDescent="0.2">
      <c r="A21" s="9" t="s">
        <v>365</v>
      </c>
      <c r="B21" s="10">
        <v>15</v>
      </c>
      <c r="C21" s="10">
        <v>30</v>
      </c>
      <c r="D21" s="10">
        <v>50</v>
      </c>
      <c r="E21" s="10">
        <v>75</v>
      </c>
      <c r="F21" s="10">
        <v>95</v>
      </c>
    </row>
    <row r="22" spans="1:6" x14ac:dyDescent="0.2">
      <c r="A22" s="22" t="s">
        <v>366</v>
      </c>
      <c r="B22" s="23">
        <v>165</v>
      </c>
      <c r="C22" s="23">
        <v>195</v>
      </c>
      <c r="D22" s="23">
        <v>245</v>
      </c>
      <c r="E22" s="23">
        <v>315</v>
      </c>
      <c r="F22" s="23">
        <v>390</v>
      </c>
    </row>
    <row r="25" spans="1:6" x14ac:dyDescent="0.2">
      <c r="A25" t="s">
        <v>367</v>
      </c>
    </row>
    <row r="26" spans="1:6" x14ac:dyDescent="0.2">
      <c r="A26" t="s">
        <v>357</v>
      </c>
      <c r="B26" t="s">
        <v>368</v>
      </c>
    </row>
    <row r="27" spans="1:6" x14ac:dyDescent="0.2">
      <c r="A27" t="s">
        <v>369</v>
      </c>
      <c r="B27">
        <v>55</v>
      </c>
    </row>
    <row r="28" spans="1:6" x14ac:dyDescent="0.2">
      <c r="A28" t="s">
        <v>370</v>
      </c>
      <c r="B28">
        <v>28</v>
      </c>
    </row>
    <row r="29" spans="1:6" x14ac:dyDescent="0.2">
      <c r="A29" t="s">
        <v>371</v>
      </c>
      <c r="B29">
        <v>85</v>
      </c>
    </row>
    <row r="30" spans="1:6" x14ac:dyDescent="0.2">
      <c r="A30" t="s">
        <v>87</v>
      </c>
      <c r="B30">
        <v>70</v>
      </c>
    </row>
    <row r="31" spans="1:6" x14ac:dyDescent="0.2">
      <c r="A31" t="s">
        <v>372</v>
      </c>
      <c r="B31">
        <v>25</v>
      </c>
    </row>
    <row r="32" spans="1:6" x14ac:dyDescent="0.2">
      <c r="A32" t="s">
        <v>373</v>
      </c>
      <c r="B32">
        <v>32</v>
      </c>
    </row>
    <row r="33" spans="1:2" x14ac:dyDescent="0.2">
      <c r="A33" t="s">
        <v>365</v>
      </c>
      <c r="B33">
        <v>95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GTM Strategy</vt:lpstr>
      <vt:lpstr>Competitive Moat</vt:lpstr>
      <vt:lpstr>Executive Summary</vt:lpstr>
      <vt:lpstr>Market Research</vt:lpstr>
      <vt:lpstr>Pricing Strategy</vt:lpstr>
      <vt:lpstr>Revenue Projections</vt:lpstr>
      <vt:lpstr>Unit Economics</vt:lpstr>
      <vt:lpstr>Breakeven Analysis</vt:lpstr>
      <vt:lpstr>Development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savin padencherry</cp:lastModifiedBy>
  <cp:revision>1</cp:revision>
  <dcterms:created xsi:type="dcterms:W3CDTF">2025-12-06T17:04:51Z</dcterms:created>
  <dcterms:modified xsi:type="dcterms:W3CDTF">2025-12-06T17:30:45Z</dcterms:modified>
  <dc:language>en-US</dc:language>
</cp:coreProperties>
</file>